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'Indicateurs'!$A$1:$Q$33</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'Sources'!$A$1:$L$26</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23.08.2026 à 21:02</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7</v>
      </c>
      <c r="C2" s="6" t="n">
        <v>5</v>
      </c>
      <c r="D2" s="6" t="n">
        <v>5</v>
      </c>
      <c r="E2" s="6" t="n">
        <v>0</v>
      </c>
      <c r="F2" s="6" t="n">
        <v>2</v>
      </c>
    </row>
    <row r="3">
      <c r="A3" s="6" t="inlineStr">
        <is>
          <t>automobile</t>
        </is>
      </c>
      <c r="B3" s="6" t="n">
        <v>5</v>
      </c>
      <c r="C3" s="6" t="n">
        <v>5</v>
      </c>
      <c r="D3" s="6" t="n">
        <v>4</v>
      </c>
      <c r="E3" s="6" t="n">
        <v>1</v>
      </c>
      <c r="F3" s="6" t="n">
        <v>0</v>
      </c>
    </row>
    <row r="4">
      <c r="A4" s="6" t="inlineStr">
        <is>
          <t>horlogerie</t>
        </is>
      </c>
      <c r="B4" s="6" t="n">
        <v>5</v>
      </c>
      <c r="C4" s="6" t="n">
        <v>4</v>
      </c>
      <c r="D4" s="6" t="n">
        <v>4</v>
      </c>
      <c r="E4" s="6" t="n">
        <v>0</v>
      </c>
      <c r="F4" s="6" t="n">
        <v>1</v>
      </c>
    </row>
    <row r="5">
      <c r="A5" s="6" t="inlineStr">
        <is>
          <t>medical</t>
        </is>
      </c>
      <c r="B5" s="6" t="n">
        <v>8</v>
      </c>
      <c r="C5" s="6" t="n">
        <v>7</v>
      </c>
      <c r="D5" s="6" t="n">
        <v>7</v>
      </c>
      <c r="E5" s="6" t="n">
        <v>0</v>
      </c>
      <c r="F5" s="6" t="n">
        <v>1</v>
      </c>
    </row>
    <row r="6">
      <c r="A6" s="6" t="inlineStr">
        <is>
          <t>transversal</t>
        </is>
      </c>
      <c r="B6" s="6" t="n">
        <v>7</v>
      </c>
      <c r="C6" s="6" t="n">
        <v>7</v>
      </c>
      <c r="D6" s="6" t="n">
        <v>7</v>
      </c>
      <c r="E6" s="6" t="n">
        <v>0</v>
      </c>
      <c r="F6" s="6" t="n">
        <v>0</v>
      </c>
    </row>
    <row r="7">
      <c r="A7" s="6" t="inlineStr">
        <is>
          <t>TOTAL</t>
        </is>
      </c>
      <c r="B7" s="6" t="n">
        <v>32</v>
      </c>
      <c r="C7" s="6" t="n">
        <v>28</v>
      </c>
      <c r="D7" s="6" t="n">
        <v>27</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COUNTA(Indicateurs!$J$2:$J$33)</f>
        <v/>
      </c>
    </row>
    <row r="14">
      <c r="A14" s="9" t="inlineStr">
        <is>
          <t>Certifiés</t>
        </is>
      </c>
      <c r="B14" s="10">
        <f>COUNTIF(Indicateurs!$J$2:$J$33,"certifie")</f>
        <v/>
      </c>
    </row>
    <row r="15">
      <c r="A15" s="9" t="inlineStr">
        <is>
          <t>dont hard data</t>
        </is>
      </c>
      <c r="B15" s="10">
        <f>COUNTIFS(Indicateurs!$J$2:$J$33,"certifie",Indicateurs!$G$2:$G$33,"hard")</f>
        <v/>
      </c>
    </row>
    <row r="16">
      <c r="A16" s="9" t="inlineStr">
        <is>
          <t>dont composites</t>
        </is>
      </c>
      <c r="B16" s="10">
        <f>COUNTIFS(Indicateurs!$J$2:$J$33,"certifie",Indicateurs!$G$2:$G$33,"composite")</f>
        <v/>
      </c>
    </row>
    <row r="17">
      <c r="A17" s="9" t="inlineStr">
        <is>
          <t>À confirmer</t>
        </is>
      </c>
      <c r="B17" s="10">
        <f>COUNTIF(Indicateurs!$J$2:$J$33,"a_confirmer")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33"/>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4"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903</v>
      </c>
      <c r="P4" s="11" t="inlineStr">
        <is>
          <t>2014 → 2025</t>
        </is>
      </c>
      <c r="Q4" s="11" t="n">
        <v>91</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https://milex.sipri.org</t>
        </is>
      </c>
      <c r="O5" s="11" t="n">
        <v>429</v>
      </c>
      <c r="P5" s="11" t="inlineStr">
        <is>
          <t>2014 → 2025</t>
        </is>
      </c>
      <c r="Q5" s="11" t="n">
        <v>96</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438</v>
      </c>
      <c r="P7" s="11" t="inlineStr">
        <is>
          <t>2015 → 2025</t>
        </is>
      </c>
      <c r="Q7" s="11" t="n">
        <v>91</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11</v>
      </c>
      <c r="P8" s="11" t="inlineStr">
        <is>
          <t>2025-09 → 2026-07</t>
        </is>
      </c>
      <c r="Q8" s="11" t="n">
        <v>80</v>
      </c>
    </row>
    <row r="9">
      <c r="A9" s="11" t="inlineStr">
        <is>
          <t>A1</t>
        </is>
      </c>
      <c r="B9" s="11" t="inlineStr">
        <is>
          <t>Automobile</t>
        </is>
      </c>
      <c r="C9" s="11" t="inlineStr">
        <is>
          <t>Production mondiale de véhicules par pays</t>
        </is>
      </c>
      <c r="D9" s="11" t="inlineStr">
        <is>
          <t>QV1, QV3</t>
        </is>
      </c>
      <c r="E9" s="11" t="inlineStr">
        <is>
          <t>Statistiques de production automobile</t>
        </is>
      </c>
      <c r="F9" s="11" t="inlineStr">
        <is>
          <t>OICA</t>
        </is>
      </c>
      <c r="G9" s="11" t="inlineStr">
        <is>
          <t>hard</t>
        </is>
      </c>
      <c r="H9" s="11" t="inlineStr">
        <is>
          <t>annuelle</t>
        </is>
      </c>
      <c r="I9" s="11" t="inlineStr">
        <is>
          <t>unités</t>
        </is>
      </c>
      <c r="J9" s="11" t="inlineStr">
        <is>
          <t>certifie</t>
        </is>
      </c>
      <c r="K9" s="11" t="n">
        <v>5</v>
      </c>
      <c r="L9" s="11" t="inlineStr">
        <is>
          <t>libre</t>
        </is>
      </c>
      <c r="M9" s="11" t="inlineStr">
        <is>
          <t>Tableaux web</t>
        </is>
      </c>
      <c r="N9" s="11" t="inlineStr">
        <is>
          <t>https://www.oica.net/production-statistics</t>
        </is>
      </c>
      <c r="O9" s="12" t="inlineStr">
        <is>
          <t>aucune collecte</t>
        </is>
      </c>
      <c r="P9" s="11" t="n"/>
      <c r="Q9" s="11" t="n"/>
    </row>
    <row r="10">
      <c r="A10" s="11" t="inlineStr">
        <is>
          <t>A2</t>
        </is>
      </c>
      <c r="B10" s="11" t="inlineStr">
        <is>
          <t>Automobile</t>
        </is>
      </c>
      <c r="C10" s="11" t="inlineStr">
        <is>
          <t>Immatriculations de véhicules neufs en Europe</t>
        </is>
      </c>
      <c r="D10" s="11" t="inlineStr">
        <is>
          <t>QV2</t>
        </is>
      </c>
      <c r="E10" s="11" t="inlineStr">
        <is>
          <t>Immatriculations de véhicules neufs</t>
        </is>
      </c>
      <c r="F10" s="11" t="inlineStr">
        <is>
          <t>ACEA</t>
        </is>
      </c>
      <c r="G10" s="11" t="inlineStr">
        <is>
          <t>composite</t>
        </is>
      </c>
      <c r="H10" s="11" t="inlineStr">
        <is>
          <t>mensuelle</t>
        </is>
      </c>
      <c r="I10" s="11" t="inlineStr">
        <is>
          <t>unités</t>
        </is>
      </c>
      <c r="J10" s="11" t="inlineStr">
        <is>
          <t>certifie</t>
        </is>
      </c>
      <c r="K10" s="11" t="n">
        <v>5</v>
      </c>
      <c r="L10" s="11" t="inlineStr">
        <is>
          <t>libre</t>
        </is>
      </c>
      <c r="M10" s="11" t="inlineStr">
        <is>
          <t>PDF / communiqués</t>
        </is>
      </c>
      <c r="N10" s="11" t="inlineStr">
        <is>
          <t>https://www.acea.auto</t>
        </is>
      </c>
      <c r="O10" s="11" t="n">
        <v>8</v>
      </c>
      <c r="P10" s="11" t="inlineStr">
        <is>
          <t>2025-11 → 2026-06</t>
        </is>
      </c>
      <c r="Q10" s="11" t="n">
        <v>64</v>
      </c>
    </row>
    <row r="11">
      <c r="A11" s="11" t="inlineStr">
        <is>
          <t>A3</t>
        </is>
      </c>
      <c r="B11" s="11" t="inlineStr">
        <is>
          <t>Automobile</t>
        </is>
      </c>
      <c r="C11" s="11" t="inlineStr">
        <is>
          <t>Ventes mondiales de véhicules électriques par pays</t>
        </is>
      </c>
      <c r="D11" s="11" t="inlineStr">
        <is>
          <t>QV2, QV3, QV4</t>
        </is>
      </c>
      <c r="E11" s="11" t="inlineStr">
        <is>
          <t>Global EV Data Explorer</t>
        </is>
      </c>
      <c r="F11" s="11" t="inlineStr">
        <is>
          <t>Agence internationale de l'énergie</t>
        </is>
      </c>
      <c r="G11" s="11" t="inlineStr">
        <is>
          <t>hard</t>
        </is>
      </c>
      <c r="H11" s="11" t="inlineStr">
        <is>
          <t>annuelle</t>
        </is>
      </c>
      <c r="I11" s="11" t="inlineStr">
        <is>
          <t>unités</t>
        </is>
      </c>
      <c r="J11" s="11" t="inlineStr">
        <is>
          <t>certifie</t>
        </is>
      </c>
      <c r="K11" s="11" t="n">
        <v>10</v>
      </c>
      <c r="L11" s="11" t="inlineStr">
        <is>
          <t>libre</t>
        </is>
      </c>
      <c r="M11" s="11" t="inlineStr">
        <is>
          <t>CSV</t>
        </is>
      </c>
      <c r="N11" s="11" t="inlineStr">
        <is>
          <t>https://www.iea.org</t>
        </is>
      </c>
      <c r="O11" s="11" t="n">
        <v>3239</v>
      </c>
      <c r="P11" s="11" t="inlineStr">
        <is>
          <t>2023 → 2025</t>
        </is>
      </c>
      <c r="Q11" s="11" t="n">
        <v>91</v>
      </c>
    </row>
    <row r="12">
      <c r="A12" s="11" t="inlineStr">
        <is>
          <t>A4</t>
        </is>
      </c>
      <c r="B12" s="11" t="inlineStr">
        <is>
          <t>Automobile</t>
        </is>
      </c>
      <c r="C12" s="11" t="inlineStr">
        <is>
          <t>Commerce mondial de parties et accessoires automobiles (SH 8708)</t>
        </is>
      </c>
      <c r="D12" s="11" t="inlineStr">
        <is>
          <t>QV2</t>
        </is>
      </c>
      <c r="E12" s="11" t="inlineStr">
        <is>
          <t>UN Comtrade — commerce international par code SH</t>
        </is>
      </c>
      <c r="F12" s="11" t="inlineStr">
        <is>
          <t>Nations Unies</t>
        </is>
      </c>
      <c r="G12" s="11" t="inlineStr">
        <is>
          <t>hard</t>
        </is>
      </c>
      <c r="H12" s="11" t="inlineStr">
        <is>
          <t>annuelle</t>
        </is>
      </c>
      <c r="I12" s="11" t="inlineStr">
        <is>
          <t>USD</t>
        </is>
      </c>
      <c r="J12" s="11" t="inlineStr">
        <is>
          <t>certifie</t>
        </is>
      </c>
      <c r="K12" s="11" t="n">
        <v>10</v>
      </c>
      <c r="L12" s="11" t="inlineStr">
        <is>
          <t>libre_quota</t>
        </is>
      </c>
      <c r="M12" s="11" t="inlineStr">
        <is>
          <t>API + CSV</t>
        </is>
      </c>
      <c r="N12" s="11" t="inlineStr">
        <is>
          <t>https://comtradeplus.un.org</t>
        </is>
      </c>
      <c r="O12" s="11" t="n">
        <v>503</v>
      </c>
      <c r="P12" s="11" t="inlineStr">
        <is>
          <t>2015 → 2025</t>
        </is>
      </c>
      <c r="Q12" s="11" t="n">
        <v>91</v>
      </c>
    </row>
    <row r="13">
      <c r="A13" s="11" t="inlineStr">
        <is>
          <t>A5</t>
        </is>
      </c>
      <c r="B13" s="11" t="inlineStr">
        <is>
          <t>Automobile</t>
        </is>
      </c>
      <c r="C13" s="11" t="inlineStr">
        <is>
          <t>Production industrielle automobile UE (NACE C29)</t>
        </is>
      </c>
      <c r="D13" s="11" t="inlineStr">
        <is>
          <t>QV1</t>
        </is>
      </c>
      <c r="E13" s="11" t="inlineStr">
        <is>
          <t>Eurostat — statistiques conjoncturelles et structurelles</t>
        </is>
      </c>
      <c r="F13" s="11" t="inlineStr">
        <is>
          <t>Commission européenne</t>
        </is>
      </c>
      <c r="G13" s="11" t="inlineStr">
        <is>
          <t>hard</t>
        </is>
      </c>
      <c r="H13" s="11" t="inlineStr">
        <is>
          <t>mensuelle</t>
        </is>
      </c>
      <c r="I13" s="11" t="inlineStr">
        <is>
          <t>indice</t>
        </is>
      </c>
      <c r="J13" s="11" t="inlineStr">
        <is>
          <t>certifie</t>
        </is>
      </c>
      <c r="K13" s="11" t="n">
        <v>10</v>
      </c>
      <c r="L13" s="11" t="inlineStr">
        <is>
          <t>libre</t>
        </is>
      </c>
      <c r="M13" s="11" t="inlineStr">
        <is>
          <t>API + CSV</t>
        </is>
      </c>
      <c r="N13" s="11" t="inlineStr">
        <is>
          <t>https://ec.europa.eu/eurostat/data/database</t>
        </is>
      </c>
      <c r="O13" s="11" t="n">
        <v>1411</v>
      </c>
      <c r="P13" s="11" t="inlineStr">
        <is>
          <t>2023-01 → 2026-06</t>
        </is>
      </c>
      <c r="Q13" s="11" t="n">
        <v>91</v>
      </c>
    </row>
    <row r="14">
      <c r="A14" s="11" t="inlineStr">
        <is>
          <t>H1</t>
        </is>
      </c>
      <c r="B14" s="11" t="inlineStr">
        <is>
          <t>Horlogerie</t>
        </is>
      </c>
      <c r="C14" s="11" t="inlineStr">
        <is>
          <t>Exportations horlogères suisses par marché de destination</t>
        </is>
      </c>
      <c r="D14" s="11" t="inlineStr">
        <is>
          <t>QV2</t>
        </is>
      </c>
      <c r="E14" s="11" t="inlineStr">
        <is>
          <t>UN Comtrade — commerce international par code SH</t>
        </is>
      </c>
      <c r="F14" s="11" t="inlineStr">
        <is>
          <t>Nations Unies</t>
        </is>
      </c>
      <c r="G14" s="11" t="inlineStr">
        <is>
          <t>hard</t>
        </is>
      </c>
      <c r="H14" s="11" t="inlineStr">
        <is>
          <t>mensuelle</t>
        </is>
      </c>
      <c r="I14" s="11" t="inlineStr">
        <is>
          <t>USD</t>
        </is>
      </c>
      <c r="J14" s="11" t="inlineStr">
        <is>
          <t>certifie</t>
        </is>
      </c>
      <c r="K14" s="11" t="n">
        <v>25</v>
      </c>
      <c r="L14" s="11" t="inlineStr">
        <is>
          <t>libre_quota</t>
        </is>
      </c>
      <c r="M14" s="11" t="inlineStr">
        <is>
          <t>API + CSV</t>
        </is>
      </c>
      <c r="N14" s="11" t="inlineStr">
        <is>
          <t>https://comtradeplus.un.org</t>
        </is>
      </c>
      <c r="O14" s="11" t="n">
        <v>23473</v>
      </c>
      <c r="P14" s="11" t="inlineStr">
        <is>
          <t>2023-01 → 2026-05</t>
        </is>
      </c>
      <c r="Q14" s="11" t="n">
        <v>91</v>
      </c>
    </row>
    <row r="15">
      <c r="A15" s="11" t="inlineStr">
        <is>
          <t>H2</t>
        </is>
      </c>
      <c r="B15" s="11" t="inlineStr">
        <is>
          <t>Horlogerie</t>
        </is>
      </c>
      <c r="C15" s="11" t="inlineStr">
        <is>
          <t>Emploi et établissements de la branche horlogère (NOGA 26.52)</t>
        </is>
      </c>
      <c r="D15" s="11" t="inlineStr">
        <is>
          <t>QV1</t>
        </is>
      </c>
      <c r="E15" s="11" t="inlineStr">
        <is>
          <t>STATENT et statistiques conjoncturelles</t>
        </is>
      </c>
      <c r="F15" s="11" t="inlineStr">
        <is>
          <t>Office fédéral de la statistique</t>
        </is>
      </c>
      <c r="G15" s="11" t="inlineStr">
        <is>
          <t>hard</t>
        </is>
      </c>
      <c r="H15" s="11" t="inlineStr">
        <is>
          <t>annuelle</t>
        </is>
      </c>
      <c r="I15" s="11" t="inlineStr">
        <is>
          <t>nombre</t>
        </is>
      </c>
      <c r="J15" s="11" t="inlineStr">
        <is>
          <t>certifie</t>
        </is>
      </c>
      <c r="K15" s="11" t="n">
        <v>5</v>
      </c>
      <c r="L15" s="11" t="inlineStr">
        <is>
          <t>libre</t>
        </is>
      </c>
      <c r="M15" s="11" t="inlineStr">
        <is>
          <t>CSV / Excel</t>
        </is>
      </c>
      <c r="N15" s="11" t="inlineStr">
        <is>
          <t>https://www.bfs.admin.ch</t>
        </is>
      </c>
      <c r="O15" s="11" t="n">
        <v>9</v>
      </c>
      <c r="P15" s="11" t="inlineStr">
        <is>
          <t>2023 → 2023</t>
        </is>
      </c>
      <c r="Q15" s="11" t="n">
        <v>91</v>
      </c>
    </row>
    <row r="16">
      <c r="A16" s="11" t="inlineStr">
        <is>
          <t>H3</t>
        </is>
      </c>
      <c r="B16" s="11" t="inlineStr">
        <is>
          <t>Horlogerie</t>
        </is>
      </c>
      <c r="C16" s="11" t="inlineStr">
        <is>
          <t>Commerce mondial d'articles d'horlogerie (SH ch. 91), par pays</t>
        </is>
      </c>
      <c r="D16" s="11" t="inlineStr">
        <is>
          <t>QV2, QV3</t>
        </is>
      </c>
      <c r="E16" s="11" t="inlineStr">
        <is>
          <t>UN Comtrade — commerce international par code SH</t>
        </is>
      </c>
      <c r="F16" s="11" t="inlineStr">
        <is>
          <t>Nations Unies</t>
        </is>
      </c>
      <c r="G16" s="11" t="inlineStr">
        <is>
          <t>hard</t>
        </is>
      </c>
      <c r="H16" s="11" t="inlineStr">
        <is>
          <t>annuelle</t>
        </is>
      </c>
      <c r="I16" s="11" t="inlineStr">
        <is>
          <t>USD</t>
        </is>
      </c>
      <c r="J16" s="11" t="inlineStr">
        <is>
          <t>certifie</t>
        </is>
      </c>
      <c r="K16" s="11" t="n">
        <v>10</v>
      </c>
      <c r="L16" s="11" t="inlineStr">
        <is>
          <t>libre_quota</t>
        </is>
      </c>
      <c r="M16" s="11" t="inlineStr">
        <is>
          <t>API + CSV</t>
        </is>
      </c>
      <c r="N16" s="11" t="inlineStr">
        <is>
          <t>https://comtradeplus.un.org</t>
        </is>
      </c>
      <c r="O16" s="11" t="n">
        <v>534</v>
      </c>
      <c r="P16" s="11" t="inlineStr">
        <is>
          <t>2015 → 2025</t>
        </is>
      </c>
      <c r="Q16" s="11" t="n">
        <v>91</v>
      </c>
    </row>
    <row r="17">
      <c r="A17" s="11" t="inlineStr">
        <is>
          <t>H4</t>
        </is>
      </c>
      <c r="B17" s="11" t="inlineStr">
        <is>
          <t>Horlogerie</t>
        </is>
      </c>
      <c r="C17" s="11" t="inlineStr">
        <is>
          <t>Dépôts de brevets en horlogerie (CIB G04)</t>
        </is>
      </c>
      <c r="D17" s="11" t="inlineStr">
        <is>
          <t>QV4</t>
        </is>
      </c>
      <c r="E17" s="11" t="inlineStr">
        <is>
          <t>Statistiques de propriété intellectuelle</t>
        </is>
      </c>
      <c r="F17" s="11" t="inlineStr">
        <is>
          <t>OMPI</t>
        </is>
      </c>
      <c r="G17" s="11" t="inlineStr">
        <is>
          <t>hard</t>
        </is>
      </c>
      <c r="H17" s="11" t="inlineStr">
        <is>
          <t>annuelle</t>
        </is>
      </c>
      <c r="I17" s="11" t="inlineStr">
        <is>
          <t>nombre</t>
        </is>
      </c>
      <c r="J17" s="11" t="inlineStr">
        <is>
          <t>certifie</t>
        </is>
      </c>
      <c r="K17" s="11" t="n">
        <v>10</v>
      </c>
      <c r="L17" s="11" t="inlineStr">
        <is>
          <t>libre</t>
        </is>
      </c>
      <c r="M17" s="11" t="inlineStr">
        <is>
          <t>CSV</t>
        </is>
      </c>
      <c r="N17" s="11" t="inlineStr">
        <is>
          <t>https://www.wipo.int/ipstats</t>
        </is>
      </c>
      <c r="O17" s="12" t="inlineStr">
        <is>
          <t>aucune collecte</t>
        </is>
      </c>
      <c r="P17" s="11" t="n"/>
      <c r="Q17" s="11" t="n"/>
    </row>
    <row r="18">
      <c r="A18" s="13" t="inlineStr">
        <is>
          <t>H5</t>
        </is>
      </c>
      <c r="B18" s="13" t="inlineStr">
        <is>
          <t>Horlogerie</t>
        </is>
      </c>
      <c r="C18" s="13" t="inlineStr">
        <is>
          <t>Climat de branche et perspectives</t>
        </is>
      </c>
      <c r="D18" s="13" t="inlineStr">
        <is>
          <t>QV1, QV5</t>
        </is>
      </c>
      <c r="E18" s="13" t="inlineStr">
        <is>
          <t>Swiss Watch Industry Study</t>
        </is>
      </c>
      <c r="F18" s="13" t="inlineStr">
        <is>
          <t>Deloitte</t>
        </is>
      </c>
      <c r="G18" s="13" t="inlineStr">
        <is>
          <t>composite</t>
        </is>
      </c>
      <c r="H18" s="13" t="inlineStr">
        <is>
          <t>annuelle</t>
        </is>
      </c>
      <c r="I18" s="13" t="inlineStr">
        <is>
          <t>qualitatif</t>
        </is>
      </c>
      <c r="J18" s="13" t="inlineStr">
        <is>
          <t>a_confirmer</t>
        </is>
      </c>
      <c r="K18" s="13" t="n"/>
      <c r="L18" s="13" t="inlineStr">
        <is>
          <t>libre</t>
        </is>
      </c>
      <c r="M18" s="13" t="inlineStr">
        <is>
          <t>PDF</t>
        </is>
      </c>
      <c r="N18" s="13" t="inlineStr">
        <is>
          <t>https://www.deloitte.com/ch</t>
        </is>
      </c>
      <c r="O18" s="14" t="inlineStr">
        <is>
          <t>aucune collecte</t>
        </is>
      </c>
      <c r="P18" s="13" t="n"/>
      <c r="Q18" s="13" t="n"/>
    </row>
    <row r="19">
      <c r="A19" s="11" t="inlineStr">
        <is>
          <t>M1</t>
        </is>
      </c>
      <c r="B19" s="11" t="inlineStr">
        <is>
          <t>Médical</t>
        </is>
      </c>
      <c r="C19" s="11" t="inlineStr">
        <is>
          <t>Commerce mondial d'instruments médicaux (SH 9018-9022), par pays</t>
        </is>
      </c>
      <c r="D19" s="11" t="inlineStr">
        <is>
          <t>QV2, QV3</t>
        </is>
      </c>
      <c r="E19" s="11" t="inlineStr">
        <is>
          <t>UN Comtrade — commerce international par code SH</t>
        </is>
      </c>
      <c r="F19" s="11" t="inlineStr">
        <is>
          <t>Nations Unies</t>
        </is>
      </c>
      <c r="G19" s="11" t="inlineStr">
        <is>
          <t>hard</t>
        </is>
      </c>
      <c r="H19" s="11" t="inlineStr">
        <is>
          <t>annuelle</t>
        </is>
      </c>
      <c r="I19" s="11" t="inlineStr">
        <is>
          <t>USD</t>
        </is>
      </c>
      <c r="J19" s="11" t="inlineStr">
        <is>
          <t>certifie</t>
        </is>
      </c>
      <c r="K19" s="11" t="n">
        <v>12</v>
      </c>
      <c r="L19" s="11" t="inlineStr">
        <is>
          <t>libre_quota</t>
        </is>
      </c>
      <c r="M19" s="11" t="inlineStr">
        <is>
          <t>API + CSV</t>
        </is>
      </c>
      <c r="N19" s="11" t="inlineStr">
        <is>
          <t>https://comtradeplus.un.org</t>
        </is>
      </c>
      <c r="O19" s="11" t="n">
        <v>549</v>
      </c>
      <c r="P19" s="11" t="inlineStr">
        <is>
          <t>2015 → 2025</t>
        </is>
      </c>
      <c r="Q19" s="11" t="n">
        <v>91</v>
      </c>
    </row>
    <row r="20">
      <c r="A20" s="11" t="inlineStr">
        <is>
          <t>M2</t>
        </is>
      </c>
      <c r="B20" s="11" t="inlineStr">
        <is>
          <t>Médical</t>
        </is>
      </c>
      <c r="C20" s="11" t="inlineStr">
        <is>
          <t>Production de l'industrie manufacturière diverse UE (NACE C32, dont instruments médicaux C32.5)</t>
        </is>
      </c>
      <c r="D20" s="11" t="inlineStr">
        <is>
          <t>QV1</t>
        </is>
      </c>
      <c r="E20" s="11" t="inlineStr">
        <is>
          <t>Eurostat — statistiques conjoncturelles et structurelles</t>
        </is>
      </c>
      <c r="F20" s="11" t="inlineStr">
        <is>
          <t>Commission européenne</t>
        </is>
      </c>
      <c r="G20" s="11" t="inlineStr">
        <is>
          <t>hard</t>
        </is>
      </c>
      <c r="H20" s="11" t="inlineStr">
        <is>
          <t>mensuelle</t>
        </is>
      </c>
      <c r="I20" s="11" t="inlineStr">
        <is>
          <t>indice</t>
        </is>
      </c>
      <c r="J20" s="11" t="inlineStr">
        <is>
          <t>certifie</t>
        </is>
      </c>
      <c r="K20" s="11" t="n">
        <v>12</v>
      </c>
      <c r="L20" s="11" t="inlineStr">
        <is>
          <t>libre</t>
        </is>
      </c>
      <c r="M20" s="11" t="inlineStr">
        <is>
          <t>API + CSV</t>
        </is>
      </c>
      <c r="N20" s="11" t="inlineStr">
        <is>
          <t>https://ec.europa.eu/eurostat/data/database</t>
        </is>
      </c>
      <c r="O20" s="11" t="n">
        <v>796</v>
      </c>
      <c r="P20" s="11" t="inlineStr">
        <is>
          <t>2023-01 → 2026-06</t>
        </is>
      </c>
      <c r="Q20" s="11" t="n">
        <v>91</v>
      </c>
    </row>
    <row r="21">
      <c r="A21" s="11" t="inlineStr">
        <is>
          <t>M3</t>
        </is>
      </c>
      <c r="B21" s="11" t="inlineStr">
        <is>
          <t>Médical</t>
        </is>
      </c>
      <c r="C21" s="11" t="inlineStr">
        <is>
          <t>Dépenses de santé par pays (part du PIB et par habitant)</t>
        </is>
      </c>
      <c r="D21" s="11" t="inlineStr">
        <is>
          <t>QV2, QV5</t>
        </is>
      </c>
      <c r="E21" s="11" t="inlineStr">
        <is>
          <t>Global Health Expenditure Database</t>
        </is>
      </c>
      <c r="F21" s="11" t="inlineStr">
        <is>
          <t>OMS</t>
        </is>
      </c>
      <c r="G21" s="11" t="inlineStr">
        <is>
          <t>hard</t>
        </is>
      </c>
      <c r="H21" s="11" t="inlineStr">
        <is>
          <t>annuelle</t>
        </is>
      </c>
      <c r="I21" s="11" t="inlineStr">
        <is>
          <t>pourcentage du PIB</t>
        </is>
      </c>
      <c r="J21" s="11" t="inlineStr">
        <is>
          <t>certifie</t>
        </is>
      </c>
      <c r="K21" s="11" t="n">
        <v>3</v>
      </c>
      <c r="L21" s="11" t="inlineStr">
        <is>
          <t>libre</t>
        </is>
      </c>
      <c r="M21" s="11" t="inlineStr">
        <is>
          <t>API / CSV</t>
        </is>
      </c>
      <c r="N21" s="11" t="inlineStr">
        <is>
          <t>https://apps.who.int/nha/database</t>
        </is>
      </c>
      <c r="O21" s="11" t="n">
        <v>2871</v>
      </c>
      <c r="P21" s="11" t="inlineStr">
        <is>
          <t>2023 → 2023</t>
        </is>
      </c>
      <c r="Q21" s="11" t="n">
        <v>91</v>
      </c>
    </row>
    <row r="22">
      <c r="A22" s="11" t="inlineStr">
        <is>
          <t>M4</t>
        </is>
      </c>
      <c r="B22" s="11" t="inlineStr">
        <is>
          <t>Médical</t>
        </is>
      </c>
      <c r="C22" s="11" t="inlineStr">
        <is>
          <t>Emploi et établissements medtech suisses (NOGA 32.5, 26.6)</t>
        </is>
      </c>
      <c r="D22" s="11" t="inlineStr">
        <is>
          <t>QV1</t>
        </is>
      </c>
      <c r="E22" s="11" t="inlineStr">
        <is>
          <t>STATENT et statistiques conjoncturelles</t>
        </is>
      </c>
      <c r="F22" s="11" t="inlineStr">
        <is>
          <t>Office fédéral de la statistique</t>
        </is>
      </c>
      <c r="G22" s="11" t="inlineStr">
        <is>
          <t>hard</t>
        </is>
      </c>
      <c r="H22" s="11" t="inlineStr">
        <is>
          <t>annuelle</t>
        </is>
      </c>
      <c r="I22" s="11" t="inlineStr">
        <is>
          <t>nombre</t>
        </is>
      </c>
      <c r="J22" s="11" t="inlineStr">
        <is>
          <t>certifie</t>
        </is>
      </c>
      <c r="K22" s="11" t="n">
        <v>5</v>
      </c>
      <c r="L22" s="11" t="inlineStr">
        <is>
          <t>libre</t>
        </is>
      </c>
      <c r="M22" s="11" t="inlineStr">
        <is>
          <t>CSV / Excel</t>
        </is>
      </c>
      <c r="N22" s="11" t="inlineStr">
        <is>
          <t>https://www.bfs.admin.ch</t>
        </is>
      </c>
      <c r="O22" s="11" t="n">
        <v>9</v>
      </c>
      <c r="P22" s="11" t="inlineStr">
        <is>
          <t>2023 → 2023</t>
        </is>
      </c>
      <c r="Q22" s="11" t="n">
        <v>91</v>
      </c>
    </row>
    <row r="23">
      <c r="A23" s="13" t="inlineStr">
        <is>
          <t>M5</t>
        </is>
      </c>
      <c r="B23" s="13" t="inlineStr">
        <is>
          <t>Médical</t>
        </is>
      </c>
      <c r="C23" s="13" t="inlineStr">
        <is>
          <t>Panorama de la branche medtech suisse</t>
        </is>
      </c>
      <c r="D23" s="13" t="inlineStr">
        <is>
          <t>QV1, QV3</t>
        </is>
      </c>
      <c r="E23" s="13" t="inlineStr">
        <is>
          <t>Swiss Medical Technology Industry report</t>
        </is>
      </c>
      <c r="F23" s="13" t="inlineStr">
        <is>
          <t>Swiss Medtech</t>
        </is>
      </c>
      <c r="G23" s="13" t="inlineStr">
        <is>
          <t>composite</t>
        </is>
      </c>
      <c r="H23" s="13" t="inlineStr">
        <is>
          <t>bisannuelle</t>
        </is>
      </c>
      <c r="I23" s="13" t="inlineStr">
        <is>
          <t>mia CHF</t>
        </is>
      </c>
      <c r="J23" s="13" t="inlineStr">
        <is>
          <t>a_confirmer</t>
        </is>
      </c>
      <c r="K23" s="13" t="n"/>
      <c r="L23" s="13" t="inlineStr">
        <is>
          <t>libre</t>
        </is>
      </c>
      <c r="M23" s="13" t="inlineStr">
        <is>
          <t>PDF</t>
        </is>
      </c>
      <c r="N23" s="13" t="inlineStr">
        <is>
          <t>https://www.swiss-medtech.ch</t>
        </is>
      </c>
      <c r="O23" s="14" t="inlineStr">
        <is>
          <t>aucune collecte</t>
        </is>
      </c>
      <c r="P23" s="13" t="n"/>
      <c r="Q23" s="13" t="n"/>
    </row>
    <row r="24">
      <c r="A24" s="11" t="inlineStr">
        <is>
          <t>M6</t>
        </is>
      </c>
      <c r="B24" s="11" t="inlineStr">
        <is>
          <t>Médical</t>
        </is>
      </c>
      <c r="C24" s="11" t="inlineStr">
        <is>
          <t>Dépôts de brevets en technologies médicales</t>
        </is>
      </c>
      <c r="D24" s="11" t="inlineStr">
        <is>
          <t>QV4</t>
        </is>
      </c>
      <c r="E24" s="11" t="inlineStr">
        <is>
          <t>Statistiques de propriété intellectuelle</t>
        </is>
      </c>
      <c r="F24" s="11" t="inlineStr">
        <is>
          <t>OMPI</t>
        </is>
      </c>
      <c r="G24" s="11" t="inlineStr">
        <is>
          <t>hard</t>
        </is>
      </c>
      <c r="H24" s="11" t="inlineStr">
        <is>
          <t>annuelle</t>
        </is>
      </c>
      <c r="I24" s="11" t="inlineStr">
        <is>
          <t>nombre</t>
        </is>
      </c>
      <c r="J24" s="11" t="inlineStr">
        <is>
          <t>certifie</t>
        </is>
      </c>
      <c r="K24" s="11" t="n">
        <v>10</v>
      </c>
      <c r="L24" s="11" t="inlineStr">
        <is>
          <t>libre</t>
        </is>
      </c>
      <c r="M24" s="11" t="inlineStr">
        <is>
          <t>CSV</t>
        </is>
      </c>
      <c r="N24" s="11" t="inlineStr">
        <is>
          <t>https://www.wipo.int/ipstats</t>
        </is>
      </c>
      <c r="O24" s="12" t="inlineStr">
        <is>
          <t>aucune collecte</t>
        </is>
      </c>
      <c r="P24" s="11" t="n"/>
      <c r="Q24" s="11" t="n"/>
    </row>
    <row r="25">
      <c r="A25" s="11" t="inlineStr">
        <is>
          <t>M7</t>
        </is>
      </c>
      <c r="B25" s="11" t="inlineStr">
        <is>
          <t>Médical</t>
        </is>
      </c>
      <c r="C25" s="11" t="inlineStr">
        <is>
          <t>Avis de marchés publics UE en équipements médicaux (TED, CPV 33)</t>
        </is>
      </c>
      <c r="D25" s="11" t="inlineStr">
        <is>
          <t>QV2, QV5</t>
        </is>
      </c>
      <c r="E25" s="11" t="inlineStr">
        <is>
          <t>Tenders Electronic Daily — marchés publics UE</t>
        </is>
      </c>
      <c r="F25" s="11" t="inlineStr">
        <is>
          <t>Office des publications de l'UE</t>
        </is>
      </c>
      <c r="G25" s="11" t="inlineStr">
        <is>
          <t>hard</t>
        </is>
      </c>
      <c r="H25" s="11" t="inlineStr">
        <is>
          <t>mensuelle</t>
        </is>
      </c>
      <c r="I25" s="11" t="inlineStr">
        <is>
          <t>nombre d'avis</t>
        </is>
      </c>
      <c r="J25" s="11" t="inlineStr">
        <is>
          <t>certifie</t>
        </is>
      </c>
      <c r="K25" s="11" t="n"/>
      <c r="L25" s="11" t="inlineStr">
        <is>
          <t>libre</t>
        </is>
      </c>
      <c r="M25" s="11" t="inlineStr">
        <is>
          <t>API</t>
        </is>
      </c>
      <c r="N25" s="11" t="inlineStr">
        <is>
          <t>https://ted.europa.eu</t>
        </is>
      </c>
      <c r="O25" s="11" t="n">
        <v>14</v>
      </c>
      <c r="P25" s="11" t="inlineStr">
        <is>
          <t>2026-01 → 2026-07</t>
        </is>
      </c>
      <c r="Q25" s="11" t="n">
        <v>78</v>
      </c>
    </row>
    <row r="26">
      <c r="A26" s="11" t="inlineStr">
        <is>
          <t>M8</t>
        </is>
      </c>
      <c r="B26" s="11" t="inlineStr">
        <is>
          <t>Médical</t>
        </is>
      </c>
      <c r="C26" s="11" t="inlineStr">
        <is>
          <t>Autorisations FDA 510(k) de dispositifs médicaux (États-Unis)</t>
        </is>
      </c>
      <c r="D26" s="11" t="inlineStr">
        <is>
          <t>QV2, QV4</t>
        </is>
      </c>
      <c r="E26" s="11" t="inlineStr">
        <is>
          <t>openFDA — bases publiques de la Food and Drug Administration</t>
        </is>
      </c>
      <c r="F26" s="11" t="inlineStr">
        <is>
          <t>U.S. Food and Drug Administration</t>
        </is>
      </c>
      <c r="G26" s="11" t="inlineStr">
        <is>
          <t>hard</t>
        </is>
      </c>
      <c r="H26" s="11" t="inlineStr">
        <is>
          <t>mensuelle</t>
        </is>
      </c>
      <c r="I26" s="11" t="inlineStr">
        <is>
          <t>nombre d'autorisations</t>
        </is>
      </c>
      <c r="J26" s="11" t="inlineStr">
        <is>
          <t>certifie</t>
        </is>
      </c>
      <c r="K26" s="11" t="n"/>
      <c r="L26" s="11" t="inlineStr">
        <is>
          <t>libre</t>
        </is>
      </c>
      <c r="M26" s="11" t="inlineStr">
        <is>
          <t>API</t>
        </is>
      </c>
      <c r="N26" s="11" t="inlineStr">
        <is>
          <t>https://open.fda.gov</t>
        </is>
      </c>
      <c r="O26" s="11" t="n">
        <v>11</v>
      </c>
      <c r="P26" s="11" t="inlineStr">
        <is>
          <t>2025-09 → 2026-07</t>
        </is>
      </c>
      <c r="Q26" s="11" t="n">
        <v>80</v>
      </c>
    </row>
    <row r="27">
      <c r="A27" s="11" t="inlineStr">
        <is>
          <t>T1</t>
        </is>
      </c>
      <c r="B27" s="11" t="inlineStr">
        <is>
          <t>Socle transversal</t>
        </is>
      </c>
      <c r="C27" s="11" t="inlineStr">
        <is>
          <t>Indicateur composite avancé (CLI), zone G20</t>
        </is>
      </c>
      <c r="D27" s="11" t="inlineStr">
        <is>
          <t>QV0</t>
        </is>
      </c>
      <c r="E27" s="11" t="inlineStr">
        <is>
          <t>Principaux indicateurs économiques et CLI</t>
        </is>
      </c>
      <c r="F27" s="11" t="inlineStr">
        <is>
          <t>OCDE</t>
        </is>
      </c>
      <c r="G27" s="11" t="inlineStr">
        <is>
          <t>hard</t>
        </is>
      </c>
      <c r="H27" s="11" t="inlineStr">
        <is>
          <t>mensuelle</t>
        </is>
      </c>
      <c r="I27" s="11" t="inlineStr">
        <is>
          <t>indice</t>
        </is>
      </c>
      <c r="J27" s="11" t="inlineStr">
        <is>
          <t>certifie</t>
        </is>
      </c>
      <c r="K27" s="11" t="n">
        <v>0.5</v>
      </c>
      <c r="L27" s="11" t="inlineStr">
        <is>
          <t>libre</t>
        </is>
      </c>
      <c r="M27" s="11" t="inlineStr">
        <is>
          <t>API + CSV</t>
        </is>
      </c>
      <c r="N27" s="11" t="inlineStr">
        <is>
          <t>https://data-explorer.oecd.org</t>
        </is>
      </c>
      <c r="O27" s="11" t="n">
        <v>798</v>
      </c>
      <c r="P27" s="11" t="inlineStr">
        <is>
          <t>2023-01 → 2026-06</t>
        </is>
      </c>
      <c r="Q27" s="11" t="n">
        <v>91</v>
      </c>
    </row>
    <row r="28">
      <c r="A28" s="11" t="inlineStr">
        <is>
          <t>T2</t>
        </is>
      </c>
      <c r="B28" s="11" t="inlineStr">
        <is>
          <t>Socle transversal</t>
        </is>
      </c>
      <c r="C28" s="11" t="inlineStr">
        <is>
          <t>Taux de change CHF/USD et CHF/EUR</t>
        </is>
      </c>
      <c r="D28" s="11" t="inlineStr">
        <is>
          <t>QV0</t>
        </is>
      </c>
      <c r="E28" s="11" t="inlineStr">
        <is>
          <t>Taux de change de référence</t>
        </is>
      </c>
      <c r="F28" s="11" t="inlineStr">
        <is>
          <t>Banque nationale suisse</t>
        </is>
      </c>
      <c r="G28" s="11" t="inlineStr">
        <is>
          <t>hard</t>
        </is>
      </c>
      <c r="H28" s="11" t="inlineStr">
        <is>
          <t>mensuelle</t>
        </is>
      </c>
      <c r="I28" s="11" t="inlineStr">
        <is>
          <t>taux</t>
        </is>
      </c>
      <c r="J28" s="11" t="inlineStr">
        <is>
          <t>certifie</t>
        </is>
      </c>
      <c r="K28" s="11" t="n">
        <v>7</v>
      </c>
      <c r="L28" s="11" t="inlineStr">
        <is>
          <t>libre</t>
        </is>
      </c>
      <c r="M28" s="11" t="inlineStr">
        <is>
          <t>API / CSV</t>
        </is>
      </c>
      <c r="N28" s="11" t="inlineStr">
        <is>
          <t>https://data.snb.ch</t>
        </is>
      </c>
      <c r="O28" s="11" t="n">
        <v>2580</v>
      </c>
      <c r="P28" s="11" t="inlineStr">
        <is>
          <t>2023-01 → 2026-07</t>
        </is>
      </c>
      <c r="Q28" s="11" t="n">
        <v>91</v>
      </c>
    </row>
    <row r="29">
      <c r="A29" s="11" t="inlineStr">
        <is>
          <t>T3</t>
        </is>
      </c>
      <c r="B29" s="11" t="inlineStr">
        <is>
          <t>Socle transversal</t>
        </is>
      </c>
      <c r="C29" s="11" t="inlineStr">
        <is>
          <t>Commerce mondial de marchandises (volume)</t>
        </is>
      </c>
      <c r="D29" s="11" t="inlineStr">
        <is>
          <t>QV0</t>
        </is>
      </c>
      <c r="E29" s="11" t="inlineStr">
        <is>
          <t>World Trade Monitor</t>
        </is>
      </c>
      <c r="F29" s="11" t="inlineStr">
        <is>
          <t>CPB Netherlands Bureau for Economic Policy Analysis</t>
        </is>
      </c>
      <c r="G29" s="11" t="inlineStr">
        <is>
          <t>hard</t>
        </is>
      </c>
      <c r="H29" s="11" t="inlineStr">
        <is>
          <t>mensuelle</t>
        </is>
      </c>
      <c r="I29" s="11" t="inlineStr">
        <is>
          <t>indice</t>
        </is>
      </c>
      <c r="J29" s="11" t="inlineStr">
        <is>
          <t>certifie</t>
        </is>
      </c>
      <c r="K29" s="11" t="n">
        <v>3</v>
      </c>
      <c r="L29" s="11" t="inlineStr">
        <is>
          <t>libre</t>
        </is>
      </c>
      <c r="M29" s="11" t="inlineStr">
        <is>
          <t>Excel</t>
        </is>
      </c>
      <c r="N29" s="11" t="inlineStr">
        <is>
          <t>https://www.cpb.nl/en/worldtrademonitor</t>
        </is>
      </c>
      <c r="O29" s="11" t="n">
        <v>164</v>
      </c>
      <c r="P29" s="11" t="inlineStr">
        <is>
          <t>2023-01 → 2026-05</t>
        </is>
      </c>
      <c r="Q29" s="11" t="n">
        <v>96</v>
      </c>
    </row>
    <row r="30">
      <c r="A30" s="11" t="inlineStr">
        <is>
          <t>T4</t>
        </is>
      </c>
      <c r="B30" s="11" t="inlineStr">
        <is>
          <t>Socle transversal</t>
        </is>
      </c>
      <c r="C30" s="11" t="inlineStr">
        <is>
          <t>Croissance du PIB mondial</t>
        </is>
      </c>
      <c r="D30" s="11" t="inlineStr">
        <is>
          <t>QV0</t>
        </is>
      </c>
      <c r="E30" s="11" t="inlineStr">
        <is>
          <t>World Economic Outlook</t>
        </is>
      </c>
      <c r="F30" s="11" t="inlineStr">
        <is>
          <t>Fonds monétaire international</t>
        </is>
      </c>
      <c r="G30" s="11" t="inlineStr">
        <is>
          <t>hard</t>
        </is>
      </c>
      <c r="H30" s="11" t="inlineStr">
        <is>
          <t>semestrielle</t>
        </is>
      </c>
      <c r="I30" s="11" t="inlineStr">
        <is>
          <t>pourcentage</t>
        </is>
      </c>
      <c r="J30" s="11" t="inlineStr">
        <is>
          <t>certifie</t>
        </is>
      </c>
      <c r="K30" s="11" t="n"/>
      <c r="L30" s="11" t="inlineStr">
        <is>
          <t>libre</t>
        </is>
      </c>
      <c r="M30" s="11" t="inlineStr">
        <is>
          <t>CSV</t>
        </is>
      </c>
      <c r="N30" s="11" t="inlineStr">
        <is>
          <t>https://www.imf.org/en/Publications/WEO</t>
        </is>
      </c>
      <c r="O30" s="11" t="n">
        <v>69</v>
      </c>
      <c r="P30" s="11" t="inlineStr">
        <is>
          <t>2023 → 2025</t>
        </is>
      </c>
      <c r="Q30" s="11" t="n">
        <v>91</v>
      </c>
    </row>
    <row r="31">
      <c r="A31" s="11" t="inlineStr">
        <is>
          <t>T5</t>
        </is>
      </c>
      <c r="B31" s="11" t="inlineStr">
        <is>
          <t>Socle transversal</t>
        </is>
      </c>
      <c r="C31" s="11" t="inlineStr">
        <is>
          <t>Attentes de production de l'industrie européenne (solde d'opinion à 3 mois)</t>
        </is>
      </c>
      <c r="D31" s="11" t="inlineStr">
        <is>
          <t>QV0</t>
        </is>
      </c>
      <c r="E31" s="11" t="inlineStr">
        <is>
          <t>Eurostat — statistiques conjoncturelles et structurelles</t>
        </is>
      </c>
      <c r="F31" s="11" t="inlineStr">
        <is>
          <t>Commission européenne</t>
        </is>
      </c>
      <c r="G31" s="11" t="inlineStr">
        <is>
          <t>hard</t>
        </is>
      </c>
      <c r="H31" s="11" t="inlineStr">
        <is>
          <t>mensuelle</t>
        </is>
      </c>
      <c r="I31" s="11" t="inlineStr">
        <is>
          <t>solde d'opinion</t>
        </is>
      </c>
      <c r="J31" s="11" t="inlineStr">
        <is>
          <t>certifie</t>
        </is>
      </c>
      <c r="K31" s="11" t="n"/>
      <c r="L31" s="11" t="inlineStr">
        <is>
          <t>libre</t>
        </is>
      </c>
      <c r="M31" s="11" t="inlineStr">
        <is>
          <t>API + CSV</t>
        </is>
      </c>
      <c r="N31" s="11" t="inlineStr">
        <is>
          <t>https://ec.europa.eu/eurostat/data/database</t>
        </is>
      </c>
      <c r="O31" s="11" t="n">
        <v>274</v>
      </c>
      <c r="P31" s="11" t="inlineStr">
        <is>
          <t>2023-01 → 2026-07</t>
        </is>
      </c>
      <c r="Q31" s="11" t="n">
        <v>91</v>
      </c>
    </row>
    <row r="32">
      <c r="A32" s="11" t="inlineStr">
        <is>
          <t>T6</t>
        </is>
      </c>
      <c r="B32" s="11" t="inlineStr">
        <is>
          <t>Socle transversal</t>
        </is>
      </c>
      <c r="C32" s="11" t="inlineStr">
        <is>
          <t>Baromètre conjoncturel KOF (Suisse)</t>
        </is>
      </c>
      <c r="D32" s="11" t="inlineStr">
        <is>
          <t>QV0</t>
        </is>
      </c>
      <c r="E32" s="11" t="inlineStr">
        <is>
          <t>Baromètre conjoncturel KOF</t>
        </is>
      </c>
      <c r="F32" s="11" t="inlineStr">
        <is>
          <t>KOF ETH Zurich</t>
        </is>
      </c>
      <c r="G32" s="11" t="inlineStr">
        <is>
          <t>hard</t>
        </is>
      </c>
      <c r="H32" s="11" t="inlineStr">
        <is>
          <t>mensuelle</t>
        </is>
      </c>
      <c r="I32" s="11" t="inlineStr">
        <is>
          <t>indice</t>
        </is>
      </c>
      <c r="J32" s="11" t="inlineStr">
        <is>
          <t>certifie</t>
        </is>
      </c>
      <c r="K32" s="11" t="n"/>
      <c r="L32" s="11" t="inlineStr">
        <is>
          <t>libre</t>
        </is>
      </c>
      <c r="M32" s="11" t="inlineStr">
        <is>
          <t>API / CSV</t>
        </is>
      </c>
      <c r="N32" s="11" t="inlineStr">
        <is>
          <t>https://data.kof.ethz.ch</t>
        </is>
      </c>
      <c r="O32" s="11" t="n">
        <v>301</v>
      </c>
      <c r="P32" s="11" t="inlineStr">
        <is>
          <t>2023-01 → 2026-07</t>
        </is>
      </c>
      <c r="Q32" s="11" t="n">
        <v>91</v>
      </c>
    </row>
    <row r="33">
      <c r="A33" s="11" t="inlineStr">
        <is>
          <t>T7</t>
        </is>
      </c>
      <c r="B33" s="11" t="inlineStr">
        <is>
          <t>Socle transversal</t>
        </is>
      </c>
      <c r="C33" s="11" t="inlineStr">
        <is>
          <t>Production de l'usinage et du traitement des métaux UE (NACE C25.6)</t>
        </is>
      </c>
      <c r="D33" s="11" t="inlineStr">
        <is>
          <t>QV0</t>
        </is>
      </c>
      <c r="E33" s="11" t="inlineStr">
        <is>
          <t>Eurostat — statistiques conjoncturelles et structurelles</t>
        </is>
      </c>
      <c r="F33" s="11" t="inlineStr">
        <is>
          <t>Commission européenne</t>
        </is>
      </c>
      <c r="G33" s="11" t="inlineStr">
        <is>
          <t>hard</t>
        </is>
      </c>
      <c r="H33" s="11" t="inlineStr">
        <is>
          <t>mensuelle</t>
        </is>
      </c>
      <c r="I33" s="11" t="inlineStr">
        <is>
          <t>indice</t>
        </is>
      </c>
      <c r="J33" s="11" t="inlineStr">
        <is>
          <t>certifie</t>
        </is>
      </c>
      <c r="K33" s="11" t="n"/>
      <c r="L33" s="11" t="inlineStr">
        <is>
          <t>libre</t>
        </is>
      </c>
      <c r="M33" s="11" t="inlineStr">
        <is>
          <t>API + CSV</t>
        </is>
      </c>
      <c r="N33" s="11" t="inlineStr">
        <is>
          <t>https://ec.europa.eu/eurostat/data/database</t>
        </is>
      </c>
      <c r="O33" s="11" t="n">
        <v>210</v>
      </c>
      <c r="P33" s="11" t="inlineStr">
        <is>
          <t>2023-01 → 2026-06</t>
        </is>
      </c>
      <c r="Q33" s="11" t="n">
        <v>91</v>
      </c>
    </row>
  </sheetData>
  <autoFilter ref="A1:Q33"/>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1</v>
      </c>
      <c r="H2" s="15" t="n">
        <v>1</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4</v>
      </c>
      <c r="H3" s="16" t="n">
        <v>3</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3</v>
      </c>
      <c r="H6" s="15" t="n">
        <v>2</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2</v>
      </c>
      <c r="H7" s="15" t="n">
        <v>2</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3</v>
      </c>
      <c r="H8" s="15" t="n">
        <v>3</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1</v>
      </c>
      <c r="H10" s="15" t="n">
        <v>1</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2</v>
      </c>
      <c r="H12" s="15" t="n">
        <v>1</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2</v>
      </c>
      <c r="H13" s="15" t="n">
        <v>2</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4</v>
      </c>
      <c r="H18" s="15" t="n">
        <v>4</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2</v>
      </c>
      <c r="H20" s="15" t="n">
        <v>2</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2</v>
      </c>
      <c r="H21" s="16" t="n">
        <v>2</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7</v>
      </c>
      <c r="H22" s="15" t="n">
        <v>7</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7</v>
      </c>
    </row>
    <row r="3">
      <c r="A3" s="6" t="inlineStr">
        <is>
          <t>QV1</t>
        </is>
      </c>
      <c r="B3" s="6" t="inlineStr">
        <is>
          <t>Santé structurelle</t>
        </is>
      </c>
      <c r="C3" s="6" t="inlineStr">
        <is>
          <t>Comment évolue la substance de la branche : production, emploi, tissu d'entreprises ?</t>
        </is>
      </c>
      <c r="D3" s="6" t="inlineStr">
        <is>
          <t>sectoriel</t>
        </is>
      </c>
      <c r="E3" s="6" t="n">
        <v>8</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13</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4</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1</v>
      </c>
      <c r="D2" s="11" t="n">
        <v>1</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2</v>
      </c>
      <c r="D7" s="11" t="n">
        <v>2</v>
      </c>
      <c r="E7" s="11" t="inlineStr">
        <is>
          <t>couverte</t>
        </is>
      </c>
    </row>
    <row r="8">
      <c r="A8" s="11" t="inlineStr">
        <is>
          <t>automobile</t>
        </is>
      </c>
      <c r="B8" s="11" t="inlineStr">
        <is>
          <t>QV2</t>
        </is>
      </c>
      <c r="C8" s="11" t="n">
        <v>3</v>
      </c>
      <c r="D8" s="11" t="n">
        <v>3</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1</v>
      </c>
      <c r="D10" s="11" t="n">
        <v>1</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2</v>
      </c>
      <c r="D12" s="11" t="n">
        <v>1</v>
      </c>
      <c r="E12" s="11" t="inlineStr">
        <is>
          <t>couverte</t>
        </is>
      </c>
    </row>
    <row r="13">
      <c r="A13" s="11" t="inlineStr">
        <is>
          <t>horlogerie</t>
        </is>
      </c>
      <c r="B13" s="11" t="inlineStr">
        <is>
          <t>QV2</t>
        </is>
      </c>
      <c r="C13" s="11" t="n">
        <v>2</v>
      </c>
      <c r="D13" s="11" t="n">
        <v>2</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7</v>
      </c>
      <c r="D22" s="11" t="n">
        <v>7</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6"/>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23"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t>
        </is>
      </c>
      <c r="L8" s="11" t="n"/>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M2, T5, T7</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n"/>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ofs</t>
        </is>
      </c>
      <c r="B17" s="11" t="inlineStr">
        <is>
          <t>STATENT et statistiques conjoncturelles</t>
        </is>
      </c>
      <c r="C17" s="11" t="inlineStr">
        <is>
          <t>Office fédéral de la statistique</t>
        </is>
      </c>
      <c r="D17" s="11" t="inlineStr">
        <is>
          <t>annuelle</t>
        </is>
      </c>
      <c r="E17" s="11" t="inlineStr">
        <is>
          <t>CSV / Excel</t>
        </is>
      </c>
      <c r="F17" s="11" t="inlineStr">
        <is>
          <t>libre</t>
        </is>
      </c>
      <c r="G17" s="11" t="inlineStr">
        <is>
          <t>certifiee</t>
        </is>
      </c>
      <c r="H17" s="11" t="inlineStr">
        <is>
          <t>N. Castillo</t>
        </is>
      </c>
      <c r="I17" s="11" t="inlineStr">
        <is>
          <t>07.08.2026</t>
        </is>
      </c>
      <c r="J17" s="11" t="inlineStr">
        <is>
          <t>H2, M4</t>
        </is>
      </c>
      <c r="K17" s="11" t="inlineStr">
        <is>
          <t>https://www.bfs.admin.ch</t>
        </is>
      </c>
      <c r="L17" s="11" t="inlineStr">
        <is>
          <t>Nomenclature NOGA</t>
        </is>
      </c>
    </row>
    <row r="18">
      <c r="A18" s="11" t="inlineStr">
        <is>
          <t>oica</t>
        </is>
      </c>
      <c r="B18" s="11" t="inlineStr">
        <is>
          <t>Statistiques de production automobile</t>
        </is>
      </c>
      <c r="C18" s="11" t="inlineStr">
        <is>
          <t>OICA</t>
        </is>
      </c>
      <c r="D18" s="11" t="inlineStr">
        <is>
          <t>annuelle</t>
        </is>
      </c>
      <c r="E18" s="11" t="inlineStr">
        <is>
          <t>Tableaux web</t>
        </is>
      </c>
      <c r="F18" s="11" t="inlineStr">
        <is>
          <t>libre</t>
        </is>
      </c>
      <c r="G18" s="11" t="inlineStr">
        <is>
          <t>certifiee</t>
        </is>
      </c>
      <c r="H18" s="11" t="inlineStr">
        <is>
          <t>N. Castillo</t>
        </is>
      </c>
      <c r="I18" s="11" t="inlineStr">
        <is>
          <t>07.08.2026</t>
        </is>
      </c>
      <c r="J18" s="11" t="inlineStr">
        <is>
          <t>A1</t>
        </is>
      </c>
      <c r="K18" s="11" t="inlineStr">
        <is>
          <t>https://www.oica.net/production-statistics</t>
        </is>
      </c>
      <c r="L18" s="11" t="n"/>
    </row>
    <row r="19">
      <c r="A19" s="11" t="inlineStr">
        <is>
          <t>ompi</t>
        </is>
      </c>
      <c r="B19" s="11" t="inlineStr">
        <is>
          <t>Statistiques de propriété intellectuelle</t>
        </is>
      </c>
      <c r="C19" s="11" t="inlineStr">
        <is>
          <t>OMPI</t>
        </is>
      </c>
      <c r="D19" s="11" t="inlineStr">
        <is>
          <t>annuelle</t>
        </is>
      </c>
      <c r="E19" s="11" t="inlineStr">
        <is>
          <t>CSV</t>
        </is>
      </c>
      <c r="F19" s="11" t="inlineStr">
        <is>
          <t>libre</t>
        </is>
      </c>
      <c r="G19" s="11" t="inlineStr">
        <is>
          <t>certifiee</t>
        </is>
      </c>
      <c r="H19" s="11" t="inlineStr">
        <is>
          <t>N. Castillo</t>
        </is>
      </c>
      <c r="I19" s="11" t="inlineStr">
        <is>
          <t>07.08.2026</t>
        </is>
      </c>
      <c r="J19" s="11" t="inlineStr">
        <is>
          <t>H4, M6</t>
        </is>
      </c>
      <c r="K19" s="11" t="inlineStr">
        <is>
          <t>https://www.wipo.int/ipstats</t>
        </is>
      </c>
      <c r="L19" s="11" t="inlineStr">
        <is>
          <t>Classification CIB</t>
        </is>
      </c>
    </row>
    <row r="20">
      <c r="A20" s="11" t="inlineStr">
        <is>
          <t>oms_ghed</t>
        </is>
      </c>
      <c r="B20" s="11" t="inlineStr">
        <is>
          <t>Global Health Expenditure Database</t>
        </is>
      </c>
      <c r="C20" s="11" t="inlineStr">
        <is>
          <t>OMS</t>
        </is>
      </c>
      <c r="D20" s="11" t="inlineStr">
        <is>
          <t>annuelle</t>
        </is>
      </c>
      <c r="E20" s="11" t="inlineStr">
        <is>
          <t>API / CSV</t>
        </is>
      </c>
      <c r="F20" s="11" t="inlineStr">
        <is>
          <t>libre</t>
        </is>
      </c>
      <c r="G20" s="11" t="inlineStr">
        <is>
          <t>certifiee</t>
        </is>
      </c>
      <c r="H20" s="11" t="inlineStr">
        <is>
          <t>N. Castillo</t>
        </is>
      </c>
      <c r="I20" s="11" t="inlineStr">
        <is>
          <t>07.08.2026</t>
        </is>
      </c>
      <c r="J20" s="11" t="inlineStr">
        <is>
          <t>M3</t>
        </is>
      </c>
      <c r="K20" s="11" t="inlineStr">
        <is>
          <t>https://apps.who.int/nha/database</t>
        </is>
      </c>
      <c r="L20" s="11" t="n"/>
    </row>
    <row r="21">
      <c r="A21" s="11" t="inlineStr">
        <is>
          <t>openfda</t>
        </is>
      </c>
      <c r="B21" s="11" t="inlineStr">
        <is>
          <t>openFDA — bases publiques de la Food and Drug Administration</t>
        </is>
      </c>
      <c r="C21" s="11" t="inlineStr">
        <is>
          <t>U.S. Food and Drug Administration</t>
        </is>
      </c>
      <c r="D21" s="11" t="inlineStr">
        <is>
          <t>quotidienne</t>
        </is>
      </c>
      <c r="E21" s="11" t="inlineStr">
        <is>
          <t>API</t>
        </is>
      </c>
      <c r="F21" s="11" t="inlineStr">
        <is>
          <t>libre</t>
        </is>
      </c>
      <c r="G21" s="11" t="inlineStr">
        <is>
          <t>certifiee</t>
        </is>
      </c>
      <c r="H21" s="11" t="inlineStr">
        <is>
          <t>N. Castillo</t>
        </is>
      </c>
      <c r="I21" s="11" t="inlineStr">
        <is>
          <t>23.08.2026</t>
        </is>
      </c>
      <c r="J21" s="11" t="inlineStr">
        <is>
          <t>M8</t>
        </is>
      </c>
      <c r="K21" s="11" t="inlineStr">
        <is>
          <t>https://open.fda.gov</t>
        </is>
      </c>
      <c r="L21"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2">
      <c r="A22" s="11" t="inlineStr">
        <is>
          <t>sipri</t>
        </is>
      </c>
      <c r="B22" s="11" t="inlineStr">
        <is>
          <t>Military Expenditure Database</t>
        </is>
      </c>
      <c r="C22" s="11" t="inlineStr">
        <is>
          <t>SIPRI</t>
        </is>
      </c>
      <c r="D22" s="11" t="inlineStr">
        <is>
          <t>annuelle</t>
        </is>
      </c>
      <c r="E22" s="11" t="inlineStr">
        <is>
          <t>CSV</t>
        </is>
      </c>
      <c r="F22" s="11" t="inlineStr">
        <is>
          <t>libre</t>
        </is>
      </c>
      <c r="G22" s="11" t="inlineStr">
        <is>
          <t>certifiee</t>
        </is>
      </c>
      <c r="H22" s="11" t="inlineStr">
        <is>
          <t>N. Castillo</t>
        </is>
      </c>
      <c r="I22" s="11" t="inlineStr">
        <is>
          <t>07.08.2026</t>
        </is>
      </c>
      <c r="J22" s="11" t="inlineStr">
        <is>
          <t>S4</t>
        </is>
      </c>
      <c r="K22" s="11" t="inlineStr">
        <is>
          <t>https://milex.sipri.org</t>
        </is>
      </c>
      <c r="L22" s="11" t="n"/>
    </row>
    <row r="23">
      <c r="A23" s="13" t="inlineStr">
        <is>
          <t>sp_global_pmi</t>
        </is>
      </c>
      <c r="B23" s="13" t="inlineStr">
        <is>
          <t>Indices PMI manufacturiers</t>
        </is>
      </c>
      <c r="C23" s="13" t="inlineStr">
        <is>
          <t>S&amp;P Global</t>
        </is>
      </c>
      <c r="D23" s="13" t="inlineStr">
        <is>
          <t>mensuelle</t>
        </is>
      </c>
      <c r="E23" s="13" t="inlineStr">
        <is>
          <t>Communiqués</t>
        </is>
      </c>
      <c r="F23" s="13" t="inlineStr">
        <is>
          <t>payant</t>
        </is>
      </c>
      <c r="G23" s="13" t="inlineStr">
        <is>
          <t>a_confirmer</t>
        </is>
      </c>
      <c r="H23" s="13" t="inlineStr">
        <is>
          <t>N. Castillo</t>
        </is>
      </c>
      <c r="I23" s="13" t="inlineStr">
        <is>
          <t>07.08.2026</t>
        </is>
      </c>
      <c r="J23" s="13" t="n"/>
      <c r="K23" s="13" t="inlineStr">
        <is>
          <t>https://www.pmi.spglobal.com</t>
        </is>
      </c>
      <c r="L23" s="13" t="inlineStr">
        <is>
          <t>Indices détaillés payants ; valeurs de synthèse dans les communiqués</t>
        </is>
      </c>
    </row>
    <row r="24">
      <c r="A24" s="13" t="inlineStr">
        <is>
          <t>swiss_medtech</t>
        </is>
      </c>
      <c r="B24" s="13" t="inlineStr">
        <is>
          <t>Swiss Medical Technology Industry report</t>
        </is>
      </c>
      <c r="C24" s="13" t="inlineStr">
        <is>
          <t>Swiss Medtech</t>
        </is>
      </c>
      <c r="D24" s="13" t="inlineStr">
        <is>
          <t>bisannuelle</t>
        </is>
      </c>
      <c r="E24" s="13" t="inlineStr">
        <is>
          <t>PDF</t>
        </is>
      </c>
      <c r="F24" s="13" t="inlineStr">
        <is>
          <t>libre</t>
        </is>
      </c>
      <c r="G24" s="13" t="inlineStr">
        <is>
          <t>a_confirmer</t>
        </is>
      </c>
      <c r="H24" s="13" t="inlineStr">
        <is>
          <t>N. Castillo</t>
        </is>
      </c>
      <c r="I24" s="13" t="inlineStr">
        <is>
          <t>07.08.2026</t>
        </is>
      </c>
      <c r="J24" s="13" t="inlineStr">
        <is>
          <t>M5</t>
        </is>
      </c>
      <c r="K24" s="13" t="inlineStr">
        <is>
          <t>https://www.swiss-medtech.ch</t>
        </is>
      </c>
      <c r="L24" s="13" t="inlineStr">
        <is>
          <t>Publication bisannuelle, périodes non alignées sur la fenêtre 2023-2025</t>
        </is>
      </c>
    </row>
    <row r="25">
      <c r="A25" s="11" t="inlineStr">
        <is>
          <t>ted</t>
        </is>
      </c>
      <c r="B25" s="11" t="inlineStr">
        <is>
          <t>Tenders Electronic Daily — marchés publics UE</t>
        </is>
      </c>
      <c r="C25" s="11" t="inlineStr">
        <is>
          <t>Office des publications de l'UE</t>
        </is>
      </c>
      <c r="D25" s="11" t="inlineStr">
        <is>
          <t>quotidienne</t>
        </is>
      </c>
      <c r="E25" s="11" t="inlineStr">
        <is>
          <t>API</t>
        </is>
      </c>
      <c r="F25" s="11" t="inlineStr">
        <is>
          <t>libre</t>
        </is>
      </c>
      <c r="G25" s="11" t="inlineStr">
        <is>
          <t>certifiee</t>
        </is>
      </c>
      <c r="H25" s="11" t="inlineStr">
        <is>
          <t>N. Castillo</t>
        </is>
      </c>
      <c r="I25" s="11" t="inlineStr">
        <is>
          <t>20.08.2026</t>
        </is>
      </c>
      <c r="J25" s="11" t="inlineStr">
        <is>
          <t>M7, S7</t>
        </is>
      </c>
      <c r="K25" s="11" t="inlineStr">
        <is>
          <t>https://ted.europa.eu</t>
        </is>
      </c>
      <c r="L25" s="11" t="inlineStr">
        <is>
          <t>API de recherche v3, POST JSON, sans clé pour la recherche. Vérifiée en réponse réelle le 20.08.2026 (totalNoticeCount par requête CPV + bornes de dates). Source de la famille OSINT F3 (marchés publics) de la demande de ratification.</t>
        </is>
      </c>
    </row>
    <row r="26">
      <c r="A26" s="11" t="inlineStr">
        <is>
          <t>unoosa</t>
        </is>
      </c>
      <c r="B26" s="11" t="inlineStr">
        <is>
          <t>Objets lancés dans l'espace</t>
        </is>
      </c>
      <c r="C26" s="11" t="inlineStr">
        <is>
          <t>UNOOSA / Our World in Data</t>
        </is>
      </c>
      <c r="D26" s="11" t="inlineStr">
        <is>
          <t>annuelle</t>
        </is>
      </c>
      <c r="E26" s="11" t="inlineStr">
        <is>
          <t>CSV</t>
        </is>
      </c>
      <c r="F26" s="11" t="inlineStr">
        <is>
          <t>libre</t>
        </is>
      </c>
      <c r="G26" s="11" t="inlineStr">
        <is>
          <t>certifiee</t>
        </is>
      </c>
      <c r="H26" s="11" t="inlineStr">
        <is>
          <t>N. Castillo</t>
        </is>
      </c>
      <c r="I26" s="11" t="inlineStr">
        <is>
          <t>07.08.2026</t>
        </is>
      </c>
      <c r="J26" s="11" t="inlineStr">
        <is>
          <t>S3</t>
        </is>
      </c>
      <c r="K26" s="11" t="inlineStr">
        <is>
          <t>https://ourworldindata.org/space-exploration-satellites</t>
        </is>
      </c>
      <c r="L26" s="11" t="n"/>
    </row>
  </sheetData>
  <autoFilter ref="A1:L26"/>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2026-08-23T21:02:55Z</dcterms:created>
  <dcterms:modified xsi:type="dcterms:W3CDTF">2026-08-23T21:02:55Z</dcterms:modified>
</cp:coreProperties>
</file>
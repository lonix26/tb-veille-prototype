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Bilan" sheetId="2" state="visible" r:id="rId2"/>
    <sheet name="Indicateurs" sheetId="3" state="visible" r:id="rId3"/>
    <sheet name="Instanciation QV" sheetId="4" state="visible" r:id="rId4"/>
    <sheet name="Questions de veille" sheetId="5" state="visible" r:id="rId5"/>
    <sheet name="Couverture QV" sheetId="6" state="visible" r:id="rId6"/>
    <sheet name="Lacunes" sheetId="7" state="visible" r:id="rId7"/>
    <sheet name="Sources" sheetId="8" state="visible" r:id="rId8"/>
  </sheets>
  <definedNames>
    <definedName name="_xlnm._FilterDatabase" localSheetId="1" hidden="1">'Bilan'!$A$1:$F$7</definedName>
    <definedName name="_xlnm.Print_Titles" localSheetId="1">'Bilan'!$1:$1</definedName>
    <definedName name="_xlnm._FilterDatabase" localSheetId="2" hidden="1">'Indicateurs'!$A$1:$Q$46</definedName>
    <definedName name="_xlnm.Print_Titles" localSheetId="2">'Indicateurs'!$1:$1</definedName>
    <definedName name="_xlnm._FilterDatabase" localSheetId="3" hidden="1">'Instanciation QV'!$A$1:$H$22</definedName>
    <definedName name="_xlnm.Print_Titles" localSheetId="3">'Instanciation QV'!$1:$1</definedName>
    <definedName name="_xlnm._FilterDatabase" localSheetId="4" hidden="1">'Questions de veille'!$A$1:$E$7</definedName>
    <definedName name="_xlnm.Print_Titles" localSheetId="4">'Questions de veille'!$1:$1</definedName>
    <definedName name="_xlnm._FilterDatabase" localSheetId="5" hidden="1">'Couverture QV'!$A$1:$E$22</definedName>
    <definedName name="_xlnm.Print_Titles" localSheetId="5">'Couverture QV'!$1:$1</definedName>
    <definedName name="_xlnm._FilterDatabase" localSheetId="6" hidden="1">'Lacunes'!$A$1:$H$4</definedName>
    <definedName name="_xlnm.Print_Titles" localSheetId="6">'Lacunes'!$1:$1</definedName>
    <definedName name="_xlnm._FilterDatabase" localSheetId="7" hidden="1">'Sources'!$A$1:$L$28</definedName>
    <definedName name="_xlnm.Print_Titles" localSheetId="7">'Sources'!$1:$1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i val="1"/>
      <color rgb="008A9199"/>
      <sz val="10"/>
    </font>
    <font>
      <name val="Arial"/>
      <b val="1"/>
      <color rgb="001C2733"/>
      <sz val="11"/>
    </font>
    <font>
      <name val="Arial"/>
      <i val="1"/>
      <color rgb="005A6570"/>
      <sz val="9"/>
    </font>
    <font>
      <name val="Arial"/>
      <b val="1"/>
      <sz val="10"/>
    </font>
    <font>
      <name val="Arial"/>
      <b val="1"/>
      <color rgb="00000000"/>
      <sz val="10"/>
    </font>
    <font>
      <name val="Arial"/>
      <b val="1"/>
      <color rgb="001C2733"/>
      <sz val="15"/>
    </font>
  </fonts>
  <fills count="9">
    <fill>
      <patternFill/>
    </fill>
    <fill>
      <patternFill patternType="gray125"/>
    </fill>
    <fill>
      <patternFill patternType="solid">
        <fgColor rgb="001C2733"/>
      </patternFill>
    </fill>
    <fill>
      <patternFill patternType="solid">
        <fgColor rgb="00D6EBD8"/>
      </patternFill>
    </fill>
    <fill>
      <patternFill patternType="solid">
        <fgColor rgb="00FBF0D0"/>
      </patternFill>
    </fill>
    <fill>
      <patternFill patternType="solid">
        <fgColor rgb="00E8E2F2"/>
      </patternFill>
    </fill>
    <fill>
      <patternFill patternType="solid">
        <fgColor rgb="00F2F0F7"/>
      </patternFill>
    </fill>
    <fill>
      <patternFill patternType="solid">
        <fgColor rgb="00F0F1F3"/>
      </patternFill>
    </fill>
    <fill>
      <patternFill patternType="solid">
        <fgColor rgb="00F7D9D5"/>
      </patternFill>
    </fill>
  </fills>
  <borders count="2">
    <border>
      <left/>
      <right/>
      <top/>
      <bottom/>
      <diagonal/>
    </border>
    <border>
      <left style="thin">
        <color rgb="00D3D6DA"/>
      </left>
      <right style="thin">
        <color rgb="00D3D6DA"/>
      </right>
      <top style="thin">
        <color rgb="00D3D6DA"/>
      </top>
      <bottom style="thin">
        <color rgb="00D3D6DA"/>
      </bottom>
    </border>
  </borders>
  <cellStyleXfs count="1">
    <xf numFmtId="0" fontId="0" fillId="0" borderId="0"/>
  </cellStyleXfs>
  <cellXfs count="19">
    <xf numFmtId="0" fontId="0" fillId="0" borderId="0" pivotButton="0" quotePrefix="0" xfId="0"/>
    <xf numFmtId="0" fontId="8"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horizontal="left" vertical="center" wrapText="1"/>
    </xf>
    <xf numFmtId="0" fontId="2" fillId="0"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0" borderId="0" pivotButton="0" quotePrefix="0" xfId="0"/>
    <xf numFmtId="0" fontId="6" fillId="0" borderId="1" pivotButton="0" quotePrefix="0" xfId="0"/>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8"/>
  <sheetViews>
    <sheetView showGridLines="0" workbookViewId="0">
      <selection activeCell="A1" sqref="A1"/>
    </sheetView>
  </sheetViews>
  <sheetFormatPr baseColWidth="8" defaultRowHeight="15"/>
  <cols>
    <col width="34" customWidth="1" min="1" max="1"/>
    <col width="100" customWidth="1" min="2" max="2"/>
  </cols>
  <sheetData>
    <row r="1">
      <c r="A1" s="1" t="inlineStr">
        <is>
          <t>Tableau de veille consolidé — annexe 1</t>
        </is>
      </c>
      <c r="B1" s="2" t="inlineStr"/>
    </row>
    <row r="2">
      <c r="A2" s="3" t="inlineStr"/>
      <c r="B2" s="2" t="inlineStr"/>
    </row>
    <row r="3">
      <c r="A3" s="3" t="inlineStr">
        <is>
          <t>Travail de Bachelor</t>
        </is>
      </c>
      <c r="B3" s="2" t="inlineStr">
        <is>
          <t>Exploration de l'IA pour les entreprises industrielles</t>
        </is>
      </c>
    </row>
    <row r="4">
      <c r="A4" s="3" t="inlineStr">
        <is>
          <t>Auteur</t>
        </is>
      </c>
      <c r="B4" s="2" t="inlineStr">
        <is>
          <t>Nilo Castillo — HEG Arc, Bachelor Informatique de gestion</t>
        </is>
      </c>
    </row>
    <row r="5">
      <c r="A5" s="3" t="inlineStr">
        <is>
          <t>Directeur</t>
        </is>
      </c>
      <c r="B5" s="2" t="inlineStr">
        <is>
          <t>Francesco Termine</t>
        </is>
      </c>
    </row>
    <row r="6">
      <c r="A6" s="3" t="inlineStr">
        <is>
          <t>Généré le</t>
        </is>
      </c>
      <c r="B6" s="2" t="inlineStr">
        <is>
          <t>24.08.2026 à 18:50</t>
        </is>
      </c>
    </row>
    <row r="7">
      <c r="A7" s="3" t="inlineStr"/>
      <c r="B7" s="2" t="inlineStr"/>
    </row>
    <row r="8">
      <c r="A8" s="3" t="inlineStr">
        <is>
          <t>PROVENANCE — deux natures à ne pas confondre</t>
        </is>
      </c>
      <c r="B8" s="2" t="inlineStr"/>
    </row>
    <row r="9">
      <c r="A9" s="3" t="inlineStr">
        <is>
          <t>Le jugement est manuel</t>
        </is>
      </c>
      <c r="B9" s="2" t="inlineStr">
        <is>
          <t>Les qualifications consignées ici résultent d'un examen manuel, source par source : accès testé, contenu vérifié, profondeur d'historique constatée, nomenclature relevée. Statuts de source, catégories d'indicateur, formulations sectorielles et criticités sont des décisions d'analyse, prises et assumées par l'auteur. Aucun automatisme ne les produit : la base refuse toute source dont le qualificateur n'est pas nommé (colonnes « Qualifiée par » et « Le »).</t>
        </is>
      </c>
    </row>
    <row r="10">
      <c r="A10" s="3" t="inlineStr">
        <is>
          <t>Le document est généré</t>
        </is>
      </c>
      <c r="B10" s="2" t="inlineStr">
        <is>
          <t>Ce classeur, en revanche, est une projection datée du référentiel : il le restitue sans le ressaisir. Une information saisie deux fois en deux endroits finit toujours par diverger — c'est ce mécanisme qui avait produit quatre décomptes d'indicateurs contradictoires dans une version antérieure du rapport.</t>
        </is>
      </c>
    </row>
    <row r="11">
      <c r="A11" s="3" t="inlineStr">
        <is>
          <t>Conséquence</t>
        </is>
      </c>
      <c r="B11" s="2" t="inlineStr">
        <is>
          <t>Toute divergence entre ce classeur et le corps du rapport signale une erreur du rapport, non du classeur.</t>
        </is>
      </c>
    </row>
    <row r="12">
      <c r="A12" s="3" t="inlineStr">
        <is>
          <t>Régénération</t>
        </is>
      </c>
      <c r="B12" s="2" t="inlineStr">
        <is>
          <t>bash exports/generer_csv.sh, puis le conteneur de conversion (voir l'en-tête du script). À refaire après toute exécution du dispositif.</t>
        </is>
      </c>
    </row>
    <row r="13">
      <c r="A13" s="3" t="inlineStr"/>
      <c r="B13" s="2" t="inlineStr"/>
    </row>
    <row r="14">
      <c r="A14" s="3" t="inlineStr">
        <is>
          <t>STRUCTURE — les sept feuilles</t>
        </is>
      </c>
      <c r="B14" s="2" t="inlineStr"/>
    </row>
    <row r="15">
      <c r="A15" s="3" t="inlineStr">
        <is>
          <t>Bilan</t>
        </is>
      </c>
      <c r="B15" s="2" t="inlineStr">
        <is>
          <t>Décompte du référentiel, calculé par la vue v_bilan_referentiel. C'est le chiffre qui fait foi ; il doit être reporté tel quel dans le rapport, jamais l'inverse. Un bloc de contrôle le recalcule par formule depuis la feuille Indicateurs.</t>
        </is>
      </c>
    </row>
    <row r="16">
      <c r="A16" s="3" t="inlineStr">
        <is>
          <t>Indicateurs</t>
        </is>
      </c>
      <c r="B16" s="2" t="inlineStr">
        <is>
          <t>La grille complète du chapitre 8, à plat. Filtrable par secteur, statut, catégorie, question de veille. Porte aussi l'état d'instrumentation de chaque indicateur.</t>
        </is>
      </c>
    </row>
    <row r="17">
      <c r="A17" s="3" t="inlineStr">
        <is>
          <t>Instanciation QV</t>
        </is>
      </c>
      <c r="B17" s="2" t="inlineStr">
        <is>
          <t>Le niveau 2 du cadre : pour chaque couple secteur × question, la formulation propre au secteur, le mécanisme causal en jeu et la criticité. C'est la feuille qui distingue le dispositif d'une simple liste d'indicateurs.</t>
        </is>
      </c>
    </row>
    <row r="18">
      <c r="A18" s="3" t="inlineStr">
        <is>
          <t>Questions de veille</t>
        </is>
      </c>
      <c r="B18" s="2" t="inlineStr">
        <is>
          <t>Le niveau 1 : les six angles invariants QV0 à QV5, dont cinq sectoriels et un transversal (QV0).</t>
        </is>
      </c>
    </row>
    <row r="19">
      <c r="A19" s="3" t="inlineStr">
        <is>
          <t>Couverture QV</t>
        </is>
      </c>
      <c r="B19" s="2" t="inlineStr">
        <is>
          <t>Matrice secteur × question. Son intérêt est de rendre l'absence calculable : c'est le cadre invariant qui permet de constater un vide, un jeu de questions sur mesure définirait sa propre complétude.</t>
        </is>
      </c>
    </row>
    <row r="20">
      <c r="A20" s="3" t="inlineStr">
        <is>
          <t>Lacunes</t>
        </is>
      </c>
      <c r="B20" s="2" t="inlineStr">
        <is>
          <t>Extraction des couples sans indicateur certifié, triés par criticité. Ce que le dispositif ne couvre pas doit se lire aussi vite que ce qu'il couvre.</t>
        </is>
      </c>
    </row>
    <row r="21">
      <c r="A21" s="3" t="inlineStr">
        <is>
          <t>Sources</t>
        </is>
      </c>
      <c r="B21" s="2" t="inlineStr">
        <is>
          <t>Le tableau de confiance complet. Le § 8.3 du rapport n'en présente que le socle transversal.</t>
        </is>
      </c>
    </row>
    <row r="22">
      <c r="A22" s="3" t="inlineStr"/>
      <c r="B22" s="2" t="inlineStr"/>
    </row>
    <row r="23">
      <c r="A23" s="4" t="inlineStr">
        <is>
          <t>LECTURES À NE PAS MANQUER</t>
        </is>
      </c>
      <c r="B23" s="2" t="inlineStr"/>
    </row>
    <row r="24">
      <c r="A24" s="3" t="inlineStr">
        <is>
          <t>Colonne « Observations en base »</t>
        </is>
      </c>
      <c r="B24" s="2" t="inlineStr">
        <is>
          <t>Distingue un indicateur QUALIFIÉ d'un indicateur COLLECTÉ. « aucune collecte » signale une conception non encore instrumentée — limite du travail, énoncée et non masquée.</t>
        </is>
      </c>
    </row>
    <row r="25">
      <c r="A25" s="3" t="inlineStr">
        <is>
          <t>Colonne « Catégorie »</t>
        </is>
      </c>
      <c r="B25" s="2" t="inlineStr">
        <is>
          <t>hard = donnée officielle structurée reprise telle quelle, traitée par ETL déterministe. composite = extraite d'un document non structuré, soumise au contrôle de consistance multi-modèles puis à validation humaine.</t>
        </is>
      </c>
    </row>
    <row r="26">
      <c r="A26" s="3" t="inlineStr">
        <is>
          <t>Colonne « Criticité »</t>
        </is>
      </c>
      <c r="B26" s="2" t="inlineStr">
        <is>
          <t>Poids de l'angle dans le secteur : dominante, significative ou marginale. Une lacune sur un angle dominant ne se lit pas comme une lacune sur un angle marginal.</t>
        </is>
      </c>
    </row>
    <row r="27">
      <c r="A27" s="3" t="inlineStr"/>
      <c r="B27" s="2" t="inlineStr"/>
    </row>
    <row r="28">
      <c r="A28" s="3" t="inlineStr">
        <is>
          <t>Code couleur</t>
        </is>
      </c>
      <c r="B28" s="2" t="inlineStr">
        <is>
          <t>Vert : certifié ou couvert · Ambre : à confirmer ou couverture nominale · Rouge : accès restreint ou lacune · Violet pâle : criticité, du plus soutenu au plus clair.</t>
        </is>
      </c>
    </row>
  </sheetData>
  <pageMargins left="0.75" right="0.75" top="1" bottom="1" header="0.5" footer="0.5"/>
  <pageSetup orientation="portrait" fitToWidth="1"/>
</worksheet>
</file>

<file path=xl/worksheets/sheet2.xml><?xml version="1.0" encoding="utf-8"?>
<worksheet xmlns="http://schemas.openxmlformats.org/spreadsheetml/2006/main">
  <sheetPr>
    <outlinePr summaryBelow="1" summaryRight="1"/>
    <pageSetUpPr fitToPage="1"/>
  </sheetPr>
  <dimension ref="A1:F17"/>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1" customWidth="1" min="3" max="3"/>
    <col width="16" customWidth="1" min="4" max="4"/>
    <col width="17" customWidth="1" min="5" max="5"/>
    <col width="13" customWidth="1" min="6" max="6"/>
  </cols>
  <sheetData>
    <row r="1" ht="32" customHeight="1">
      <c r="A1" s="5" t="inlineStr">
        <is>
          <t>Secteur</t>
        </is>
      </c>
      <c r="B1" s="5" t="inlineStr">
        <is>
          <t>Total</t>
        </is>
      </c>
      <c r="C1" s="5" t="inlineStr">
        <is>
          <t>Certifiés</t>
        </is>
      </c>
      <c r="D1" s="5" t="inlineStr">
        <is>
          <t>dont hard data</t>
        </is>
      </c>
      <c r="E1" s="5" t="inlineStr">
        <is>
          <t>dont composites</t>
        </is>
      </c>
      <c r="F1" s="5" t="inlineStr">
        <is>
          <t>À confirmer</t>
        </is>
      </c>
    </row>
    <row r="2">
      <c r="A2" s="6" t="inlineStr">
        <is>
          <t>aerospatial</t>
        </is>
      </c>
      <c r="B2" s="6" t="n">
        <v>8</v>
      </c>
      <c r="C2" s="6" t="n">
        <v>6</v>
      </c>
      <c r="D2" s="6" t="n">
        <v>6</v>
      </c>
      <c r="E2" s="6" t="n">
        <v>0</v>
      </c>
      <c r="F2" s="6" t="n">
        <v>2</v>
      </c>
    </row>
    <row r="3">
      <c r="A3" s="6" t="inlineStr">
        <is>
          <t>automobile</t>
        </is>
      </c>
      <c r="B3" s="6" t="n">
        <v>7</v>
      </c>
      <c r="C3" s="6" t="n">
        <v>7</v>
      </c>
      <c r="D3" s="6" t="n">
        <v>6</v>
      </c>
      <c r="E3" s="6" t="n">
        <v>1</v>
      </c>
      <c r="F3" s="6" t="n">
        <v>0</v>
      </c>
    </row>
    <row r="4">
      <c r="A4" s="6" t="inlineStr">
        <is>
          <t>horlogerie</t>
        </is>
      </c>
      <c r="B4" s="6" t="n">
        <v>9</v>
      </c>
      <c r="C4" s="6" t="n">
        <v>8</v>
      </c>
      <c r="D4" s="6" t="n">
        <v>8</v>
      </c>
      <c r="E4" s="6" t="n">
        <v>0</v>
      </c>
      <c r="F4" s="6" t="n">
        <v>1</v>
      </c>
    </row>
    <row r="5">
      <c r="A5" s="6" t="inlineStr">
        <is>
          <t>medical</t>
        </is>
      </c>
      <c r="B5" s="6" t="n">
        <v>8</v>
      </c>
      <c r="C5" s="6" t="n">
        <v>7</v>
      </c>
      <c r="D5" s="6" t="n">
        <v>7</v>
      </c>
      <c r="E5" s="6" t="n">
        <v>0</v>
      </c>
      <c r="F5" s="6" t="n">
        <v>1</v>
      </c>
    </row>
    <row r="6">
      <c r="A6" s="6" t="inlineStr">
        <is>
          <t>transversal</t>
        </is>
      </c>
      <c r="B6" s="6" t="n">
        <v>13</v>
      </c>
      <c r="C6" s="6" t="n">
        <v>13</v>
      </c>
      <c r="D6" s="6" t="n">
        <v>13</v>
      </c>
      <c r="E6" s="6" t="n">
        <v>0</v>
      </c>
      <c r="F6" s="6" t="n">
        <v>0</v>
      </c>
    </row>
    <row r="7">
      <c r="A7" s="6" t="inlineStr">
        <is>
          <t>TOTAL</t>
        </is>
      </c>
      <c r="B7" s="6" t="n">
        <v>45</v>
      </c>
      <c r="C7" s="6" t="n">
        <v>41</v>
      </c>
      <c r="D7" s="6" t="n">
        <v>40</v>
      </c>
      <c r="E7" s="6" t="n">
        <v>1</v>
      </c>
      <c r="F7" s="6" t="n">
        <v>4</v>
      </c>
    </row>
    <row r="10">
      <c r="A10" s="7" t="inlineStr">
        <is>
          <t>Contrôle — recalcul par formule</t>
        </is>
      </c>
    </row>
    <row r="11" ht="30" customHeight="1">
      <c r="A11" s="8" t="inlineStr">
        <is>
          <t>Le décompte ci-dessus provient de la vue v_bilan_referentiel et fait foi. Les valeurs ci-dessous le recalculent depuis la feuille Indicateurs : tout écart signale une incohérence à instruire, non une valeur à corriger ici.</t>
        </is>
      </c>
    </row>
    <row r="13">
      <c r="A13" s="9" t="inlineStr">
        <is>
          <t>Total des indicateurs</t>
        </is>
      </c>
      <c r="B13" s="10">
        <f>COUNTA(Indicateurs!$J$2:$J$46)</f>
        <v/>
      </c>
    </row>
    <row r="14">
      <c r="A14" s="9" t="inlineStr">
        <is>
          <t>Certifiés</t>
        </is>
      </c>
      <c r="B14" s="10">
        <f>COUNTIF(Indicateurs!$J$2:$J$46,"certifie")</f>
        <v/>
      </c>
    </row>
    <row r="15">
      <c r="A15" s="9" t="inlineStr">
        <is>
          <t>dont hard data</t>
        </is>
      </c>
      <c r="B15" s="10">
        <f>COUNTIFS(Indicateurs!$J$2:$J$46,"certifie",Indicateurs!$G$2:$G$46,"hard")</f>
        <v/>
      </c>
    </row>
    <row r="16">
      <c r="A16" s="9" t="inlineStr">
        <is>
          <t>dont composites</t>
        </is>
      </c>
      <c r="B16" s="10">
        <f>COUNTIFS(Indicateurs!$J$2:$J$46,"certifie",Indicateurs!$G$2:$G$46,"composite")</f>
        <v/>
      </c>
    </row>
    <row r="17">
      <c r="A17" s="9" t="inlineStr">
        <is>
          <t>À confirmer</t>
        </is>
      </c>
      <c r="B17" s="10">
        <f>COUNTIF(Indicateurs!$J$2:$J$46,"a_confirmer")</f>
        <v/>
      </c>
    </row>
  </sheetData>
  <autoFilter ref="A1:F7"/>
  <mergeCells count="1">
    <mergeCell ref="A11:F1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Q46"/>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50" customWidth="1" min="3" max="3"/>
    <col width="21" customWidth="1" min="4" max="4"/>
    <col width="38" customWidth="1" min="5" max="5"/>
    <col width="38" customWidth="1" min="6" max="6"/>
    <col width="11" customWidth="1" min="7" max="7"/>
    <col width="15" customWidth="1" min="8" max="8"/>
    <col width="24" customWidth="1" min="9" max="9"/>
    <col width="13" customWidth="1" min="10" max="10"/>
    <col width="20" customWidth="1" min="11" max="11"/>
    <col width="13" customWidth="1" min="12" max="12"/>
    <col width="19" customWidth="1" min="13" max="13"/>
    <col width="40" customWidth="1" min="14" max="14"/>
    <col width="22" customWidth="1" min="15" max="15"/>
    <col width="19" customWidth="1" min="16" max="16"/>
    <col width="13" customWidth="1" min="17" max="17"/>
  </cols>
  <sheetData>
    <row r="1" ht="32" customHeight="1">
      <c r="A1" s="5" t="inlineStr">
        <is>
          <t>Code</t>
        </is>
      </c>
      <c r="B1" s="5" t="inlineStr">
        <is>
          <t>Secteur</t>
        </is>
      </c>
      <c r="C1" s="5" t="inlineStr">
        <is>
          <t>Indicateur</t>
        </is>
      </c>
      <c r="D1" s="5" t="inlineStr">
        <is>
          <t>Questions de veille</t>
        </is>
      </c>
      <c r="E1" s="5" t="inlineStr">
        <is>
          <t>Source</t>
        </is>
      </c>
      <c r="F1" s="5" t="inlineStr">
        <is>
          <t>Organisme</t>
        </is>
      </c>
      <c r="G1" s="5" t="inlineStr">
        <is>
          <t>Catégorie</t>
        </is>
      </c>
      <c r="H1" s="5" t="inlineStr">
        <is>
          <t>Fréquence</t>
        </is>
      </c>
      <c r="I1" s="5" t="inlineStr">
        <is>
          <t>Unité</t>
        </is>
      </c>
      <c r="J1" s="5" t="inlineStr">
        <is>
          <t>Statut</t>
        </is>
      </c>
      <c r="K1" s="5" t="inlineStr">
        <is>
          <t>Seuil d'alerte (%)</t>
        </is>
      </c>
      <c r="L1" s="5" t="inlineStr">
        <is>
          <t>Accès</t>
        </is>
      </c>
      <c r="M1" s="5" t="inlineStr">
        <is>
          <t>Format</t>
        </is>
      </c>
      <c r="N1" s="5" t="inlineStr">
        <is>
          <t>URL de la source</t>
        </is>
      </c>
      <c r="O1" s="5" t="inlineStr">
        <is>
          <t>Observations en base</t>
        </is>
      </c>
      <c r="P1" s="5" t="inlineStr">
        <is>
          <t>Période couverte</t>
        </is>
      </c>
      <c r="Q1" s="5" t="inlineStr">
        <is>
          <t>Dernier run</t>
        </is>
      </c>
    </row>
    <row r="2">
      <c r="A2" s="11" t="inlineStr">
        <is>
          <t>S1</t>
        </is>
      </c>
      <c r="B2" s="11" t="inlineStr">
        <is>
          <t>Aérospatial</t>
        </is>
      </c>
      <c r="C2" s="11" t="inlineStr">
        <is>
          <t>Commandes et livraisons d'avions commerciaux (Airbus, Boeing)</t>
        </is>
      </c>
      <c r="D2" s="11" t="inlineStr">
        <is>
          <t>QV1, QV2</t>
        </is>
      </c>
      <c r="E2" s="11" t="inlineStr">
        <is>
          <t>Commandes et livraisons d'avions commerciaux</t>
        </is>
      </c>
      <c r="F2" s="11" t="inlineStr">
        <is>
          <t>Airbus, Boeing</t>
        </is>
      </c>
      <c r="G2" s="11" t="inlineStr">
        <is>
          <t>hard</t>
        </is>
      </c>
      <c r="H2" s="11" t="inlineStr">
        <is>
          <t>mensuelle</t>
        </is>
      </c>
      <c r="I2" s="11" t="inlineStr">
        <is>
          <t>appareils</t>
        </is>
      </c>
      <c r="J2" s="11" t="inlineStr">
        <is>
          <t>certifie</t>
        </is>
      </c>
      <c r="K2" s="11" t="n">
        <v>10</v>
      </c>
      <c r="L2" s="11" t="inlineStr">
        <is>
          <t>libre</t>
        </is>
      </c>
      <c r="M2" s="11" t="inlineStr">
        <is>
          <t>Web / Excel</t>
        </is>
      </c>
      <c r="N2" s="11" t="inlineStr">
        <is>
          <t>https://www.airbus.com</t>
        </is>
      </c>
      <c r="O2" s="12" t="inlineStr">
        <is>
          <t>aucune collecte</t>
        </is>
      </c>
      <c r="P2" s="11" t="n"/>
      <c r="Q2" s="11" t="n"/>
    </row>
    <row r="3">
      <c r="A3" s="13" t="inlineStr">
        <is>
          <t>S2</t>
        </is>
      </c>
      <c r="B3" s="13" t="inlineStr">
        <is>
          <t>Aérospatial</t>
        </is>
      </c>
      <c r="C3" s="13" t="inlineStr">
        <is>
          <t>Trafic aérien mondial de passagers (RPK)</t>
        </is>
      </c>
      <c r="D3" s="13" t="inlineStr">
        <is>
          <t>QV2</t>
        </is>
      </c>
      <c r="E3" s="13" t="inlineStr">
        <is>
          <t>Air Passenger Market Analysis</t>
        </is>
      </c>
      <c r="F3" s="13" t="inlineStr">
        <is>
          <t>IATA</t>
        </is>
      </c>
      <c r="G3" s="13" t="inlineStr">
        <is>
          <t>composite</t>
        </is>
      </c>
      <c r="H3" s="13" t="inlineStr">
        <is>
          <t>mensuelle</t>
        </is>
      </c>
      <c r="I3" s="13" t="inlineStr">
        <is>
          <t>indice</t>
        </is>
      </c>
      <c r="J3" s="13" t="inlineStr">
        <is>
          <t>a_confirmer</t>
        </is>
      </c>
      <c r="K3" s="13" t="n"/>
      <c r="L3" s="13" t="inlineStr">
        <is>
          <t>libre</t>
        </is>
      </c>
      <c r="M3" s="13" t="inlineStr">
        <is>
          <t>PDF</t>
        </is>
      </c>
      <c r="N3" s="13" t="inlineStr">
        <is>
          <t>https://www.iata.org</t>
        </is>
      </c>
      <c r="O3" s="14" t="inlineStr">
        <is>
          <t>aucune collecte</t>
        </is>
      </c>
      <c r="P3" s="13" t="n"/>
      <c r="Q3" s="13" t="n"/>
    </row>
    <row r="4">
      <c r="A4" s="11" t="inlineStr">
        <is>
          <t>S3</t>
        </is>
      </c>
      <c r="B4" s="11" t="inlineStr">
        <is>
          <t>Aérospatial</t>
        </is>
      </c>
      <c r="C4" s="11" t="inlineStr">
        <is>
          <t>Objets lancés dans l'espace par pays</t>
        </is>
      </c>
      <c r="D4" s="11" t="inlineStr">
        <is>
          <t>QV3</t>
        </is>
      </c>
      <c r="E4" s="11" t="inlineStr">
        <is>
          <t>Objets lancés dans l'espace</t>
        </is>
      </c>
      <c r="F4" s="11" t="inlineStr">
        <is>
          <t>UNOOSA / Our World in Data</t>
        </is>
      </c>
      <c r="G4" s="11" t="inlineStr">
        <is>
          <t>hard</t>
        </is>
      </c>
      <c r="H4" s="11" t="inlineStr">
        <is>
          <t>annuelle</t>
        </is>
      </c>
      <c r="I4" s="11" t="inlineStr">
        <is>
          <t>nombre</t>
        </is>
      </c>
      <c r="J4" s="11" t="inlineStr">
        <is>
          <t>certifie</t>
        </is>
      </c>
      <c r="K4" s="11" t="n">
        <v>80</v>
      </c>
      <c r="L4" s="11" t="inlineStr">
        <is>
          <t>libre</t>
        </is>
      </c>
      <c r="M4" s="11" t="inlineStr">
        <is>
          <t>CSV</t>
        </is>
      </c>
      <c r="N4" s="11" t="inlineStr">
        <is>
          <t>https://ourworldindata.org/space-exploration-satellites</t>
        </is>
      </c>
      <c r="O4" s="11" t="n">
        <v>1275</v>
      </c>
      <c r="P4" s="11" t="inlineStr">
        <is>
          <t>2014 → 2025</t>
        </is>
      </c>
      <c r="Q4" s="11" t="n">
        <v>112</v>
      </c>
    </row>
    <row r="5">
      <c r="A5" s="11" t="inlineStr">
        <is>
          <t>S4</t>
        </is>
      </c>
      <c r="B5" s="11" t="inlineStr">
        <is>
          <t>Aérospatial</t>
        </is>
      </c>
      <c r="C5" s="11" t="inlineStr">
        <is>
          <t>Dépenses militaires par pays</t>
        </is>
      </c>
      <c r="D5" s="11" t="inlineStr">
        <is>
          <t>QV5</t>
        </is>
      </c>
      <c r="E5" s="11" t="inlineStr">
        <is>
          <t>Military Expenditure Database</t>
        </is>
      </c>
      <c r="F5" s="11" t="inlineStr">
        <is>
          <t>SIPRI</t>
        </is>
      </c>
      <c r="G5" s="11" t="inlineStr">
        <is>
          <t>hard</t>
        </is>
      </c>
      <c r="H5" s="11" t="inlineStr">
        <is>
          <t>annuelle</t>
        </is>
      </c>
      <c r="I5" s="11" t="inlineStr">
        <is>
          <t>mio USD</t>
        </is>
      </c>
      <c r="J5" s="11" t="inlineStr">
        <is>
          <t>certifie</t>
        </is>
      </c>
      <c r="K5" s="11" t="n">
        <v>5</v>
      </c>
      <c r="L5" s="11" t="inlineStr">
        <is>
          <t>libre</t>
        </is>
      </c>
      <c r="M5" s="11" t="inlineStr">
        <is>
          <t>CSV</t>
        </is>
      </c>
      <c r="N5" s="11" t="inlineStr">
        <is>
          <t>https://www.sipri.org/databases/milex</t>
        </is>
      </c>
      <c r="O5" s="11" t="n">
        <v>429</v>
      </c>
      <c r="P5" s="11" t="inlineStr">
        <is>
          <t>2014 → 2025</t>
        </is>
      </c>
      <c r="Q5" s="11" t="n">
        <v>96</v>
      </c>
    </row>
    <row r="6">
      <c r="A6" s="13" t="inlineStr">
        <is>
          <t>S5</t>
        </is>
      </c>
      <c r="B6" s="13" t="inlineStr">
        <is>
          <t>Aérospatial</t>
        </is>
      </c>
      <c r="C6" s="13" t="inlineStr">
        <is>
          <t>Budget de l'ESA et budgets spatiaux publics</t>
        </is>
      </c>
      <c r="D6" s="13" t="inlineStr">
        <is>
          <t>QV5</t>
        </is>
      </c>
      <c r="E6" s="13" t="inlineStr">
        <is>
          <t>Budgets spatiaux publics</t>
        </is>
      </c>
      <c r="F6" s="13" t="inlineStr">
        <is>
          <t>ESA et agences nationales</t>
        </is>
      </c>
      <c r="G6" s="13" t="inlineStr">
        <is>
          <t>composite</t>
        </is>
      </c>
      <c r="H6" s="13" t="inlineStr">
        <is>
          <t>annuelle</t>
        </is>
      </c>
      <c r="I6" s="13" t="inlineStr">
        <is>
          <t>mio EUR</t>
        </is>
      </c>
      <c r="J6" s="13" t="inlineStr">
        <is>
          <t>a_confirmer</t>
        </is>
      </c>
      <c r="K6" s="13" t="n"/>
      <c r="L6" s="13" t="inlineStr">
        <is>
          <t>libre</t>
        </is>
      </c>
      <c r="M6" s="13" t="inlineStr">
        <is>
          <t>PDF</t>
        </is>
      </c>
      <c r="N6" s="13" t="inlineStr">
        <is>
          <t>https://www.esa.int</t>
        </is>
      </c>
      <c r="O6" s="14" t="inlineStr">
        <is>
          <t>aucune collecte</t>
        </is>
      </c>
      <c r="P6" s="13" t="n"/>
      <c r="Q6" s="13" t="n"/>
    </row>
    <row r="7">
      <c r="A7" s="11" t="inlineStr">
        <is>
          <t>S6</t>
        </is>
      </c>
      <c r="B7" s="11" t="inlineStr">
        <is>
          <t>Aérospatial</t>
        </is>
      </c>
      <c r="C7" s="11" t="inlineStr">
        <is>
          <t>Commerce mondial aéronautique et spatial (SH ch. 88)</t>
        </is>
      </c>
      <c r="D7" s="11" t="inlineStr">
        <is>
          <t>QV2</t>
        </is>
      </c>
      <c r="E7" s="11" t="inlineStr">
        <is>
          <t>UN Comtrade — commerce international par code SH</t>
        </is>
      </c>
      <c r="F7" s="11" t="inlineStr">
        <is>
          <t>Nations Unies</t>
        </is>
      </c>
      <c r="G7" s="11" t="inlineStr">
        <is>
          <t>hard</t>
        </is>
      </c>
      <c r="H7" s="11" t="inlineStr">
        <is>
          <t>annuelle</t>
        </is>
      </c>
      <c r="I7" s="11" t="inlineStr">
        <is>
          <t>USD</t>
        </is>
      </c>
      <c r="J7" s="11" t="inlineStr">
        <is>
          <t>certifie</t>
        </is>
      </c>
      <c r="K7" s="11" t="n">
        <v>20</v>
      </c>
      <c r="L7" s="11" t="inlineStr">
        <is>
          <t>libre_quota</t>
        </is>
      </c>
      <c r="M7" s="11" t="inlineStr">
        <is>
          <t>API + CSV</t>
        </is>
      </c>
      <c r="N7" s="11" t="inlineStr">
        <is>
          <t>https://comtradeplus.un.org</t>
        </is>
      </c>
      <c r="O7" s="11" t="n">
        <v>702</v>
      </c>
      <c r="P7" s="11" t="inlineStr">
        <is>
          <t>2015 → 2025</t>
        </is>
      </c>
      <c r="Q7" s="11" t="n">
        <v>112</v>
      </c>
    </row>
    <row r="8">
      <c r="A8" s="11" t="inlineStr">
        <is>
          <t>S7</t>
        </is>
      </c>
      <c r="B8" s="11" t="inlineStr">
        <is>
          <t>Aérospatial</t>
        </is>
      </c>
      <c r="C8" s="11" t="inlineStr">
        <is>
          <t>Avis de marchés publics UE en aéronefs et engins spatiaux (TED, CPV 347)</t>
        </is>
      </c>
      <c r="D8" s="11" t="inlineStr">
        <is>
          <t>QV2, QV5</t>
        </is>
      </c>
      <c r="E8" s="11" t="inlineStr">
        <is>
          <t>Tenders Electronic Daily — marchés publics UE</t>
        </is>
      </c>
      <c r="F8" s="11" t="inlineStr">
        <is>
          <t>Office des publications de l'UE</t>
        </is>
      </c>
      <c r="G8" s="11" t="inlineStr">
        <is>
          <t>hard</t>
        </is>
      </c>
      <c r="H8" s="11" t="inlineStr">
        <is>
          <t>mensuelle</t>
        </is>
      </c>
      <c r="I8" s="11" t="inlineStr">
        <is>
          <t>nombre d'avis</t>
        </is>
      </c>
      <c r="J8" s="11" t="inlineStr">
        <is>
          <t>certifie</t>
        </is>
      </c>
      <c r="K8" s="11" t="n"/>
      <c r="L8" s="11" t="inlineStr">
        <is>
          <t>libre</t>
        </is>
      </c>
      <c r="M8" s="11" t="inlineStr">
        <is>
          <t>API</t>
        </is>
      </c>
      <c r="N8" s="11" t="inlineStr">
        <is>
          <t>https://ted.europa.eu</t>
        </is>
      </c>
      <c r="O8" s="11" t="n">
        <v>11</v>
      </c>
      <c r="P8" s="11" t="inlineStr">
        <is>
          <t>2025-09 → 2026-07</t>
        </is>
      </c>
      <c r="Q8" s="11" t="n">
        <v>80</v>
      </c>
    </row>
    <row r="9">
      <c r="A9" s="11" t="inlineStr">
        <is>
          <t>S8</t>
        </is>
      </c>
      <c r="B9" s="11" t="inlineStr">
        <is>
          <t>Aérospatial</t>
        </is>
      </c>
      <c r="C9" s="11" t="inlineStr">
        <is>
          <t>Production aéronautique et spatiale UE (NACE C30.3)</t>
        </is>
      </c>
      <c r="D9" s="11" t="inlineStr">
        <is>
          <t>QV1</t>
        </is>
      </c>
      <c r="E9" s="11" t="inlineStr">
        <is>
          <t>Eurostat — statistiques conjoncturelles et structurelles</t>
        </is>
      </c>
      <c r="F9" s="11" t="inlineStr">
        <is>
          <t>Commission européenne</t>
        </is>
      </c>
      <c r="G9" s="11" t="inlineStr">
        <is>
          <t>hard</t>
        </is>
      </c>
      <c r="H9" s="11" t="inlineStr">
        <is>
          <t>mensuelle</t>
        </is>
      </c>
      <c r="I9" s="11" t="inlineStr">
        <is>
          <t>indice</t>
        </is>
      </c>
      <c r="J9" s="11" t="inlineStr">
        <is>
          <t>certifie</t>
        </is>
      </c>
      <c r="K9" s="11" t="n">
        <v>6</v>
      </c>
      <c r="L9" s="11" t="inlineStr">
        <is>
          <t>libre</t>
        </is>
      </c>
      <c r="M9" s="11" t="inlineStr">
        <is>
          <t>API + CSV</t>
        </is>
      </c>
      <c r="N9" s="11" t="inlineStr">
        <is>
          <t>https://ec.europa.eu/eurostat/data/database</t>
        </is>
      </c>
      <c r="O9" s="11" t="n">
        <v>492</v>
      </c>
      <c r="P9" s="11" t="inlineStr">
        <is>
          <t>2014-01 → 2026-06</t>
        </is>
      </c>
      <c r="Q9" s="11" t="n">
        <v>112</v>
      </c>
    </row>
    <row r="10">
      <c r="A10" s="11" t="inlineStr">
        <is>
          <t>A1</t>
        </is>
      </c>
      <c r="B10" s="11" t="inlineStr">
        <is>
          <t>Automobile</t>
        </is>
      </c>
      <c r="C10" s="11" t="inlineStr">
        <is>
          <t>Production mondiale de véhicules par pays</t>
        </is>
      </c>
      <c r="D10" s="11" t="inlineStr">
        <is>
          <t>QV1, QV3</t>
        </is>
      </c>
      <c r="E10" s="11" t="inlineStr">
        <is>
          <t>Statistiques de production automobile</t>
        </is>
      </c>
      <c r="F10" s="11" t="inlineStr">
        <is>
          <t>OICA</t>
        </is>
      </c>
      <c r="G10" s="11" t="inlineStr">
        <is>
          <t>hard</t>
        </is>
      </c>
      <c r="H10" s="11" t="inlineStr">
        <is>
          <t>annuelle</t>
        </is>
      </c>
      <c r="I10" s="11" t="inlineStr">
        <is>
          <t>unités</t>
        </is>
      </c>
      <c r="J10" s="11" t="inlineStr">
        <is>
          <t>certifie</t>
        </is>
      </c>
      <c r="K10" s="11" t="n">
        <v>5</v>
      </c>
      <c r="L10" s="11" t="inlineStr">
        <is>
          <t>libre</t>
        </is>
      </c>
      <c r="M10" s="11" t="inlineStr">
        <is>
          <t>Tableaux web</t>
        </is>
      </c>
      <c r="N10" s="11" t="inlineStr">
        <is>
          <t>https://www.oica.net/production-statistics</t>
        </is>
      </c>
      <c r="O10" s="12" t="inlineStr">
        <is>
          <t>aucune collecte</t>
        </is>
      </c>
      <c r="P10" s="11" t="n"/>
      <c r="Q10" s="11" t="n"/>
    </row>
    <row r="11">
      <c r="A11" s="11" t="inlineStr">
        <is>
          <t>A2</t>
        </is>
      </c>
      <c r="B11" s="11" t="inlineStr">
        <is>
          <t>Automobile</t>
        </is>
      </c>
      <c r="C11" s="11" t="inlineStr">
        <is>
          <t>Immatriculations de véhicules neufs en Europe</t>
        </is>
      </c>
      <c r="D11" s="11" t="inlineStr">
        <is>
          <t>QV2</t>
        </is>
      </c>
      <c r="E11" s="11" t="inlineStr">
        <is>
          <t>Immatriculations de véhicules neufs</t>
        </is>
      </c>
      <c r="F11" s="11" t="inlineStr">
        <is>
          <t>ACEA</t>
        </is>
      </c>
      <c r="G11" s="11" t="inlineStr">
        <is>
          <t>composite</t>
        </is>
      </c>
      <c r="H11" s="11" t="inlineStr">
        <is>
          <t>mensuelle</t>
        </is>
      </c>
      <c r="I11" s="11" t="inlineStr">
        <is>
          <t>unités</t>
        </is>
      </c>
      <c r="J11" s="11" t="inlineStr">
        <is>
          <t>certifie</t>
        </is>
      </c>
      <c r="K11" s="11" t="n">
        <v>5</v>
      </c>
      <c r="L11" s="11" t="inlineStr">
        <is>
          <t>libre</t>
        </is>
      </c>
      <c r="M11" s="11" t="inlineStr">
        <is>
          <t>PDF / communiqués</t>
        </is>
      </c>
      <c r="N11" s="11" t="inlineStr">
        <is>
          <t>https://www.acea.auto</t>
        </is>
      </c>
      <c r="O11" s="11" t="n">
        <v>8</v>
      </c>
      <c r="P11" s="11" t="inlineStr">
        <is>
          <t>2025-11 → 2026-06</t>
        </is>
      </c>
      <c r="Q11" s="11" t="n">
        <v>64</v>
      </c>
    </row>
    <row r="12">
      <c r="A12" s="11" t="inlineStr">
        <is>
          <t>A3</t>
        </is>
      </c>
      <c r="B12" s="11" t="inlineStr">
        <is>
          <t>Automobile</t>
        </is>
      </c>
      <c r="C12" s="11" t="inlineStr">
        <is>
          <t>Ventes mondiales de véhicules électriques par pays</t>
        </is>
      </c>
      <c r="D12" s="11" t="inlineStr">
        <is>
          <t>QV2, QV3, QV4</t>
        </is>
      </c>
      <c r="E12" s="11" t="inlineStr">
        <is>
          <t>Global EV Data Explorer</t>
        </is>
      </c>
      <c r="F12" s="11" t="inlineStr">
        <is>
          <t>Agence internationale de l'énergie</t>
        </is>
      </c>
      <c r="G12" s="11" t="inlineStr">
        <is>
          <t>hard</t>
        </is>
      </c>
      <c r="H12" s="11" t="inlineStr">
        <is>
          <t>annuelle</t>
        </is>
      </c>
      <c r="I12" s="11" t="inlineStr">
        <is>
          <t>unités</t>
        </is>
      </c>
      <c r="J12" s="11" t="inlineStr">
        <is>
          <t>certifie</t>
        </is>
      </c>
      <c r="K12" s="11" t="n">
        <v>10</v>
      </c>
      <c r="L12" s="11" t="inlineStr">
        <is>
          <t>libre</t>
        </is>
      </c>
      <c r="M12" s="11" t="inlineStr">
        <is>
          <t>CSV</t>
        </is>
      </c>
      <c r="N12" s="11" t="inlineStr">
        <is>
          <t>https://www.iea.org</t>
        </is>
      </c>
      <c r="O12" s="11" t="n">
        <v>3787</v>
      </c>
      <c r="P12" s="11" t="inlineStr">
        <is>
          <t>2023 → 2025</t>
        </is>
      </c>
      <c r="Q12" s="11" t="n">
        <v>112</v>
      </c>
    </row>
    <row r="13">
      <c r="A13" s="11" t="inlineStr">
        <is>
          <t>A4</t>
        </is>
      </c>
      <c r="B13" s="11" t="inlineStr">
        <is>
          <t>Automobile</t>
        </is>
      </c>
      <c r="C13" s="11" t="inlineStr">
        <is>
          <t>Commerce mondial de parties et accessoires automobiles (SH 8708)</t>
        </is>
      </c>
      <c r="D13" s="11" t="inlineStr">
        <is>
          <t>QV2</t>
        </is>
      </c>
      <c r="E13" s="11" t="inlineStr">
        <is>
          <t>UN Comtrade — commerce international par code SH</t>
        </is>
      </c>
      <c r="F13" s="11" t="inlineStr">
        <is>
          <t>Nations Unies</t>
        </is>
      </c>
      <c r="G13" s="11" t="inlineStr">
        <is>
          <t>hard</t>
        </is>
      </c>
      <c r="H13" s="11" t="inlineStr">
        <is>
          <t>annuelle</t>
        </is>
      </c>
      <c r="I13" s="11" t="inlineStr">
        <is>
          <t>USD</t>
        </is>
      </c>
      <c r="J13" s="11" t="inlineStr">
        <is>
          <t>certifie</t>
        </is>
      </c>
      <c r="K13" s="11" t="n">
        <v>10</v>
      </c>
      <c r="L13" s="11" t="inlineStr">
        <is>
          <t>libre_quota</t>
        </is>
      </c>
      <c r="M13" s="11" t="inlineStr">
        <is>
          <t>API + CSV</t>
        </is>
      </c>
      <c r="N13" s="11" t="inlineStr">
        <is>
          <t>https://comtradeplus.un.org</t>
        </is>
      </c>
      <c r="O13" s="11" t="n">
        <v>851</v>
      </c>
      <c r="P13" s="11" t="inlineStr">
        <is>
          <t>2015 → 2025</t>
        </is>
      </c>
      <c r="Q13" s="11" t="n">
        <v>112</v>
      </c>
    </row>
    <row r="14">
      <c r="A14" s="11" t="inlineStr">
        <is>
          <t>A5</t>
        </is>
      </c>
      <c r="B14" s="11" t="inlineStr">
        <is>
          <t>Automobile</t>
        </is>
      </c>
      <c r="C14" s="11" t="inlineStr">
        <is>
          <t>Production industrielle automobile UE (NACE C29)</t>
        </is>
      </c>
      <c r="D14" s="11" t="inlineStr">
        <is>
          <t>QV1</t>
        </is>
      </c>
      <c r="E14" s="11" t="inlineStr">
        <is>
          <t>Eurostat — statistiques conjoncturelles et structurelles</t>
        </is>
      </c>
      <c r="F14" s="11" t="inlineStr">
        <is>
          <t>Commission européenne</t>
        </is>
      </c>
      <c r="G14" s="11" t="inlineStr">
        <is>
          <t>hard</t>
        </is>
      </c>
      <c r="H14" s="11" t="inlineStr">
        <is>
          <t>mensuelle</t>
        </is>
      </c>
      <c r="I14" s="11" t="inlineStr">
        <is>
          <t>indice</t>
        </is>
      </c>
      <c r="J14" s="11" t="inlineStr">
        <is>
          <t>certifie</t>
        </is>
      </c>
      <c r="K14" s="11" t="n">
        <v>10</v>
      </c>
      <c r="L14" s="11" t="inlineStr">
        <is>
          <t>libre</t>
        </is>
      </c>
      <c r="M14" s="11" t="inlineStr">
        <is>
          <t>API + CSV</t>
        </is>
      </c>
      <c r="N14" s="11" t="inlineStr">
        <is>
          <t>https://ec.europa.eu/eurostat/data/database</t>
        </is>
      </c>
      <c r="O14" s="11" t="n">
        <v>1681</v>
      </c>
      <c r="P14" s="11" t="inlineStr">
        <is>
          <t>2014-01 → 2026-06</t>
        </is>
      </c>
      <c r="Q14" s="11" t="n">
        <v>112</v>
      </c>
    </row>
    <row r="15">
      <c r="A15" s="11" t="inlineStr">
        <is>
          <t>A6</t>
        </is>
      </c>
      <c r="B15" s="11" t="inlineStr">
        <is>
          <t>Automobile</t>
        </is>
      </c>
      <c r="C15" s="11" t="inlineStr">
        <is>
          <t>Production d'équipements automobiles UE (NACE C29.3)</t>
        </is>
      </c>
      <c r="D15" s="11" t="inlineStr">
        <is>
          <t>QV1, QV2</t>
        </is>
      </c>
      <c r="E15" s="11" t="inlineStr">
        <is>
          <t>Eurostat — statistiques conjoncturelles et structurelles</t>
        </is>
      </c>
      <c r="F15" s="11" t="inlineStr">
        <is>
          <t>Commission européenne</t>
        </is>
      </c>
      <c r="G15" s="11" t="inlineStr">
        <is>
          <t>hard</t>
        </is>
      </c>
      <c r="H15" s="11" t="inlineStr">
        <is>
          <t>mensuelle</t>
        </is>
      </c>
      <c r="I15" s="11" t="inlineStr">
        <is>
          <t>indice</t>
        </is>
      </c>
      <c r="J15" s="11" t="inlineStr">
        <is>
          <t>certifie</t>
        </is>
      </c>
      <c r="K15" s="11" t="n">
        <v>6</v>
      </c>
      <c r="L15" s="11" t="inlineStr">
        <is>
          <t>libre</t>
        </is>
      </c>
      <c r="M15" s="11" t="inlineStr">
        <is>
          <t>API + CSV</t>
        </is>
      </c>
      <c r="N15" s="11" t="inlineStr">
        <is>
          <t>https://ec.europa.eu/eurostat/data/database</t>
        </is>
      </c>
      <c r="O15" s="11" t="n">
        <v>492</v>
      </c>
      <c r="P15" s="11" t="inlineStr">
        <is>
          <t>2014-01 → 2026-06</t>
        </is>
      </c>
      <c r="Q15" s="11" t="n">
        <v>112</v>
      </c>
    </row>
    <row r="16">
      <c r="A16" s="11" t="inlineStr">
        <is>
          <t>A7</t>
        </is>
      </c>
      <c r="B16" s="11" t="inlineStr">
        <is>
          <t>Automobile</t>
        </is>
      </c>
      <c r="C16" s="11" t="inlineStr">
        <is>
          <t>Brevets en technologies de transport bas carbone (OCDE)</t>
        </is>
      </c>
      <c r="D16" s="11" t="inlineStr">
        <is>
          <t>QV4</t>
        </is>
      </c>
      <c r="E16" s="11" t="inlineStr">
        <is>
          <t>Brevets par domaine technologique</t>
        </is>
      </c>
      <c r="F16" s="11" t="inlineStr">
        <is>
          <t>OCDE</t>
        </is>
      </c>
      <c r="G16" s="11" t="inlineStr">
        <is>
          <t>hard</t>
        </is>
      </c>
      <c r="H16" s="11" t="inlineStr">
        <is>
          <t>annuelle</t>
        </is>
      </c>
      <c r="I16" s="11" t="inlineStr">
        <is>
          <t>nombre</t>
        </is>
      </c>
      <c r="J16" s="11" t="inlineStr">
        <is>
          <t>certifie</t>
        </is>
      </c>
      <c r="K16" s="11" t="n"/>
      <c r="L16" s="11" t="inlineStr">
        <is>
          <t>libre</t>
        </is>
      </c>
      <c r="M16" s="11" t="inlineStr">
        <is>
          <t>API SDMX</t>
        </is>
      </c>
      <c r="N16" s="11" t="inlineStr">
        <is>
          <t>https://data-explorer.oecd.org/vis?df[ag]=OECD.STI.PIE&amp;df[id]=DSD_PATENTS@DF_PATENTS_OECDSPECIFIC</t>
        </is>
      </c>
      <c r="O16" s="11" t="n">
        <v>54</v>
      </c>
      <c r="P16" s="11" t="inlineStr">
        <is>
          <t>2014 → 2022</t>
        </is>
      </c>
      <c r="Q16" s="11" t="n">
        <v>112</v>
      </c>
    </row>
    <row r="17">
      <c r="A17" s="11" t="inlineStr">
        <is>
          <t>H1</t>
        </is>
      </c>
      <c r="B17" s="11" t="inlineStr">
        <is>
          <t>Horlogerie</t>
        </is>
      </c>
      <c r="C17" s="11" t="inlineStr">
        <is>
          <t>Exportations horlogères suisses par marché de destination</t>
        </is>
      </c>
      <c r="D17" s="11" t="inlineStr">
        <is>
          <t>QV2</t>
        </is>
      </c>
      <c r="E17" s="11" t="inlineStr">
        <is>
          <t>UN Comtrade — commerce international par code SH</t>
        </is>
      </c>
      <c r="F17" s="11" t="inlineStr">
        <is>
          <t>Nations Unies</t>
        </is>
      </c>
      <c r="G17" s="11" t="inlineStr">
        <is>
          <t>hard</t>
        </is>
      </c>
      <c r="H17" s="11" t="inlineStr">
        <is>
          <t>mensuelle</t>
        </is>
      </c>
      <c r="I17" s="11" t="inlineStr">
        <is>
          <t>USD</t>
        </is>
      </c>
      <c r="J17" s="11" t="inlineStr">
        <is>
          <t>certifie</t>
        </is>
      </c>
      <c r="K17" s="11" t="n">
        <v>25</v>
      </c>
      <c r="L17" s="11" t="inlineStr">
        <is>
          <t>libre_quota</t>
        </is>
      </c>
      <c r="M17" s="11" t="inlineStr">
        <is>
          <t>API + CSV</t>
        </is>
      </c>
      <c r="N17" s="11" t="inlineStr">
        <is>
          <t>https://comtradeplus.un.org</t>
        </is>
      </c>
      <c r="O17" s="11" t="n">
        <v>40157</v>
      </c>
      <c r="P17" s="11" t="inlineStr">
        <is>
          <t>2023-01 → 2026-05</t>
        </is>
      </c>
      <c r="Q17" s="11" t="n">
        <v>112</v>
      </c>
    </row>
    <row r="18">
      <c r="A18" s="11" t="inlineStr">
        <is>
          <t>H2</t>
        </is>
      </c>
      <c r="B18" s="11" t="inlineStr">
        <is>
          <t>Horlogerie</t>
        </is>
      </c>
      <c r="C18" s="11" t="inlineStr">
        <is>
          <t>Emploi et établissements de la branche horlogère (NOGA 26.52)</t>
        </is>
      </c>
      <c r="D18" s="11" t="inlineStr">
        <is>
          <t>QV1</t>
        </is>
      </c>
      <c r="E18" s="11" t="inlineStr">
        <is>
          <t>STATENT et statistiques conjoncturelles</t>
        </is>
      </c>
      <c r="F18" s="11" t="inlineStr">
        <is>
          <t>Office fédéral de la statistique</t>
        </is>
      </c>
      <c r="G18" s="11" t="inlineStr">
        <is>
          <t>hard</t>
        </is>
      </c>
      <c r="H18" s="11" t="inlineStr">
        <is>
          <t>annuelle</t>
        </is>
      </c>
      <c r="I18" s="11" t="inlineStr">
        <is>
          <t>nombre</t>
        </is>
      </c>
      <c r="J18" s="11" t="inlineStr">
        <is>
          <t>certifie</t>
        </is>
      </c>
      <c r="K18" s="11" t="n">
        <v>5</v>
      </c>
      <c r="L18" s="11" t="inlineStr">
        <is>
          <t>libre</t>
        </is>
      </c>
      <c r="M18" s="11" t="inlineStr">
        <is>
          <t>CSV / Excel</t>
        </is>
      </c>
      <c r="N18" s="11" t="inlineStr">
        <is>
          <t>https://www.bfs.admin.ch</t>
        </is>
      </c>
      <c r="O18" s="11" t="n">
        <v>13</v>
      </c>
      <c r="P18" s="11" t="inlineStr">
        <is>
          <t>2023 → 2023</t>
        </is>
      </c>
      <c r="Q18" s="11" t="n">
        <v>112</v>
      </c>
    </row>
    <row r="19">
      <c r="A19" s="11" t="inlineStr">
        <is>
          <t>H3</t>
        </is>
      </c>
      <c r="B19" s="11" t="inlineStr">
        <is>
          <t>Horlogerie</t>
        </is>
      </c>
      <c r="C19" s="11" t="inlineStr">
        <is>
          <t>Commerce mondial d'articles d'horlogerie (SH ch. 91), par pays</t>
        </is>
      </c>
      <c r="D19" s="11" t="inlineStr">
        <is>
          <t>QV2, QV3</t>
        </is>
      </c>
      <c r="E19" s="11" t="inlineStr">
        <is>
          <t>UN Comtrade — commerce international par code SH</t>
        </is>
      </c>
      <c r="F19" s="11" t="inlineStr">
        <is>
          <t>Nations Unies</t>
        </is>
      </c>
      <c r="G19" s="11" t="inlineStr">
        <is>
          <t>hard</t>
        </is>
      </c>
      <c r="H19" s="11" t="inlineStr">
        <is>
          <t>annuelle</t>
        </is>
      </c>
      <c r="I19" s="11" t="inlineStr">
        <is>
          <t>USD</t>
        </is>
      </c>
      <c r="J19" s="11" t="inlineStr">
        <is>
          <t>certifie</t>
        </is>
      </c>
      <c r="K19" s="11" t="n">
        <v>10</v>
      </c>
      <c r="L19" s="11" t="inlineStr">
        <is>
          <t>libre_quota</t>
        </is>
      </c>
      <c r="M19" s="11" t="inlineStr">
        <is>
          <t>API + CSV</t>
        </is>
      </c>
      <c r="N19" s="11" t="inlineStr">
        <is>
          <t>https://comtradeplus.un.org</t>
        </is>
      </c>
      <c r="O19" s="11" t="n">
        <v>838</v>
      </c>
      <c r="P19" s="11" t="inlineStr">
        <is>
          <t>2015 → 2025</t>
        </is>
      </c>
      <c r="Q19" s="11" t="n">
        <v>112</v>
      </c>
    </row>
    <row r="20">
      <c r="A20" s="11" t="inlineStr">
        <is>
          <t>H4</t>
        </is>
      </c>
      <c r="B20" s="11" t="inlineStr">
        <is>
          <t>Horlogerie</t>
        </is>
      </c>
      <c r="C20" s="11" t="inlineStr">
        <is>
          <t>Dépôts de brevets en horlogerie (CIB G04)</t>
        </is>
      </c>
      <c r="D20" s="11" t="inlineStr">
        <is>
          <t>QV4</t>
        </is>
      </c>
      <c r="E20" s="11" t="inlineStr">
        <is>
          <t>Statistiques de propriété intellectuelle</t>
        </is>
      </c>
      <c r="F20" s="11" t="inlineStr">
        <is>
          <t>OMPI</t>
        </is>
      </c>
      <c r="G20" s="11" t="inlineStr">
        <is>
          <t>hard</t>
        </is>
      </c>
      <c r="H20" s="11" t="inlineStr">
        <is>
          <t>annuelle</t>
        </is>
      </c>
      <c r="I20" s="11" t="inlineStr">
        <is>
          <t>nombre</t>
        </is>
      </c>
      <c r="J20" s="11" t="inlineStr">
        <is>
          <t>certifie</t>
        </is>
      </c>
      <c r="K20" s="11" t="n">
        <v>10</v>
      </c>
      <c r="L20" s="11" t="inlineStr">
        <is>
          <t>libre</t>
        </is>
      </c>
      <c r="M20" s="11" t="inlineStr">
        <is>
          <t>CSV</t>
        </is>
      </c>
      <c r="N20" s="11" t="inlineStr">
        <is>
          <t>https://www.wipo.int/ipstats</t>
        </is>
      </c>
      <c r="O20" s="12" t="inlineStr">
        <is>
          <t>aucune collecte</t>
        </is>
      </c>
      <c r="P20" s="11" t="n"/>
      <c r="Q20" s="11" t="n"/>
    </row>
    <row r="21">
      <c r="A21" s="13" t="inlineStr">
        <is>
          <t>H5</t>
        </is>
      </c>
      <c r="B21" s="13" t="inlineStr">
        <is>
          <t>Horlogerie</t>
        </is>
      </c>
      <c r="C21" s="13" t="inlineStr">
        <is>
          <t>Climat de branche et perspectives</t>
        </is>
      </c>
      <c r="D21" s="13" t="inlineStr">
        <is>
          <t>QV1, QV5</t>
        </is>
      </c>
      <c r="E21" s="13" t="inlineStr">
        <is>
          <t>Swiss Watch Industry Study</t>
        </is>
      </c>
      <c r="F21" s="13" t="inlineStr">
        <is>
          <t>Deloitte</t>
        </is>
      </c>
      <c r="G21" s="13" t="inlineStr">
        <is>
          <t>composite</t>
        </is>
      </c>
      <c r="H21" s="13" t="inlineStr">
        <is>
          <t>annuelle</t>
        </is>
      </c>
      <c r="I21" s="13" t="inlineStr">
        <is>
          <t>qualitatif</t>
        </is>
      </c>
      <c r="J21" s="13" t="inlineStr">
        <is>
          <t>a_confirmer</t>
        </is>
      </c>
      <c r="K21" s="13" t="n"/>
      <c r="L21" s="13" t="inlineStr">
        <is>
          <t>libre</t>
        </is>
      </c>
      <c r="M21" s="13" t="inlineStr">
        <is>
          <t>PDF</t>
        </is>
      </c>
      <c r="N21" s="13" t="inlineStr">
        <is>
          <t>https://www.deloitte.com/ch</t>
        </is>
      </c>
      <c r="O21" s="14" t="inlineStr">
        <is>
          <t>aucune collecte</t>
        </is>
      </c>
      <c r="P21" s="13" t="n"/>
      <c r="Q21" s="13" t="n"/>
    </row>
    <row r="22">
      <c r="A22" s="11" t="inlineStr">
        <is>
          <t>H6</t>
        </is>
      </c>
      <c r="B22" s="11" t="inlineStr">
        <is>
          <t>Horlogerie</t>
        </is>
      </c>
      <c r="C22" s="11" t="inlineStr">
        <is>
          <t>Production horlogère UE (NACE C26.52)</t>
        </is>
      </c>
      <c r="D22" s="11" t="inlineStr">
        <is>
          <t>QV1</t>
        </is>
      </c>
      <c r="E22" s="11" t="inlineStr">
        <is>
          <t>Eurostat — statistiques conjoncturelles et structurelles</t>
        </is>
      </c>
      <c r="F22" s="11" t="inlineStr">
        <is>
          <t>Commission européenne</t>
        </is>
      </c>
      <c r="G22" s="11" t="inlineStr">
        <is>
          <t>hard</t>
        </is>
      </c>
      <c r="H22" s="11" t="inlineStr">
        <is>
          <t>mensuelle</t>
        </is>
      </c>
      <c r="I22" s="11" t="inlineStr">
        <is>
          <t>indice</t>
        </is>
      </c>
      <c r="J22" s="11" t="inlineStr">
        <is>
          <t>certifie</t>
        </is>
      </c>
      <c r="K22" s="11" t="n">
        <v>6</v>
      </c>
      <c r="L22" s="11" t="inlineStr">
        <is>
          <t>libre</t>
        </is>
      </c>
      <c r="M22" s="11" t="inlineStr">
        <is>
          <t>API + CSV</t>
        </is>
      </c>
      <c r="N22" s="11" t="inlineStr">
        <is>
          <t>https://ec.europa.eu/eurostat/data/database</t>
        </is>
      </c>
      <c r="O22" s="11" t="n">
        <v>492</v>
      </c>
      <c r="P22" s="11" t="inlineStr">
        <is>
          <t>2014-01 → 2026-06</t>
        </is>
      </c>
      <c r="Q22" s="11" t="n">
        <v>112</v>
      </c>
    </row>
    <row r="23">
      <c r="A23" s="11" t="inlineStr">
        <is>
          <t>H7</t>
        </is>
      </c>
      <c r="B23" s="11" t="inlineStr">
        <is>
          <t>Horlogerie</t>
        </is>
      </c>
      <c r="C23" s="11" t="inlineStr">
        <is>
          <t>Exportations horlogères suisses, valeur totale (FH)</t>
        </is>
      </c>
      <c r="D23" s="11" t="inlineStr">
        <is>
          <t>QV2</t>
        </is>
      </c>
      <c r="E23" s="11" t="inlineStr">
        <is>
          <t>Statistiques d'exportation horlogère</t>
        </is>
      </c>
      <c r="F23" s="11" t="inlineStr">
        <is>
          <t>Fédération de l'industrie horlogère suisse</t>
        </is>
      </c>
      <c r="G23" s="11" t="inlineStr">
        <is>
          <t>hard</t>
        </is>
      </c>
      <c r="H23" s="11" t="inlineStr">
        <is>
          <t>mensuelle</t>
        </is>
      </c>
      <c r="I23" s="11" t="inlineStr">
        <is>
          <t>mio CHF</t>
        </is>
      </c>
      <c r="J23" s="11" t="inlineStr">
        <is>
          <t>certifie</t>
        </is>
      </c>
      <c r="K23" s="11" t="n">
        <v>8</v>
      </c>
      <c r="L23" s="11" t="inlineStr">
        <is>
          <t>libre</t>
        </is>
      </c>
      <c r="M23" s="11" t="inlineStr">
        <is>
          <t>PDF / communiqués</t>
        </is>
      </c>
      <c r="N23" s="11" t="inlineStr">
        <is>
          <t>https://www.fhs.swiss</t>
        </is>
      </c>
      <c r="O23" s="11" t="n">
        <v>19</v>
      </c>
      <c r="P23" s="11" t="inlineStr">
        <is>
          <t>2025-01 → 2026-07</t>
        </is>
      </c>
      <c r="Q23" s="11" t="n">
        <v>104</v>
      </c>
    </row>
    <row r="24">
      <c r="A24" s="11" t="inlineStr">
        <is>
          <t>H8</t>
        </is>
      </c>
      <c r="B24" s="11" t="inlineStr">
        <is>
          <t>Horlogerie</t>
        </is>
      </c>
      <c r="C24" s="11" t="inlineStr">
        <is>
          <t>Exportations de montres mécaniques, valeur (FH)</t>
        </is>
      </c>
      <c r="D24" s="11" t="inlineStr">
        <is>
          <t>QV1, QV2</t>
        </is>
      </c>
      <c r="E24" s="11" t="inlineStr">
        <is>
          <t>Statistiques d'exportation horlogère</t>
        </is>
      </c>
      <c r="F24" s="11" t="inlineStr">
        <is>
          <t>Fédération de l'industrie horlogère suisse</t>
        </is>
      </c>
      <c r="G24" s="11" t="inlineStr">
        <is>
          <t>hard</t>
        </is>
      </c>
      <c r="H24" s="11" t="inlineStr">
        <is>
          <t>mensuelle</t>
        </is>
      </c>
      <c r="I24" s="11" t="inlineStr">
        <is>
          <t>mio CHF</t>
        </is>
      </c>
      <c r="J24" s="11" t="inlineStr">
        <is>
          <t>certifie</t>
        </is>
      </c>
      <c r="K24" s="11" t="n">
        <v>8</v>
      </c>
      <c r="L24" s="11" t="inlineStr">
        <is>
          <t>libre</t>
        </is>
      </c>
      <c r="M24" s="11" t="inlineStr">
        <is>
          <t>PDF / communiqués</t>
        </is>
      </c>
      <c r="N24" s="11" t="inlineStr">
        <is>
          <t>https://www.fhs.swiss</t>
        </is>
      </c>
      <c r="O24" s="11" t="n">
        <v>19</v>
      </c>
      <c r="P24" s="11" t="inlineStr">
        <is>
          <t>2025-01 → 2026-07</t>
        </is>
      </c>
      <c r="Q24" s="11" t="n">
        <v>104</v>
      </c>
    </row>
    <row r="25">
      <c r="A25" s="11" t="inlineStr">
        <is>
          <t>H9</t>
        </is>
      </c>
      <c r="B25" s="11" t="inlineStr">
        <is>
          <t>Horlogerie</t>
        </is>
      </c>
      <c r="C25" s="11" t="inlineStr">
        <is>
          <t>Exportations de montres mécaniques, volume (FH)</t>
        </is>
      </c>
      <c r="D25" s="11" t="inlineStr">
        <is>
          <t>QV1</t>
        </is>
      </c>
      <c r="E25" s="11" t="inlineStr">
        <is>
          <t>Statistiques d'exportation horlogère</t>
        </is>
      </c>
      <c r="F25" s="11" t="inlineStr">
        <is>
          <t>Fédération de l'industrie horlogère suisse</t>
        </is>
      </c>
      <c r="G25" s="11" t="inlineStr">
        <is>
          <t>hard</t>
        </is>
      </c>
      <c r="H25" s="11" t="inlineStr">
        <is>
          <t>mensuelle</t>
        </is>
      </c>
      <c r="I25" s="11" t="inlineStr">
        <is>
          <t>milliers de pièces</t>
        </is>
      </c>
      <c r="J25" s="11" t="inlineStr">
        <is>
          <t>certifie</t>
        </is>
      </c>
      <c r="K25" s="11" t="n">
        <v>8</v>
      </c>
      <c r="L25" s="11" t="inlineStr">
        <is>
          <t>libre</t>
        </is>
      </c>
      <c r="M25" s="11" t="inlineStr">
        <is>
          <t>PDF / communiqués</t>
        </is>
      </c>
      <c r="N25" s="11" t="inlineStr">
        <is>
          <t>https://www.fhs.swiss</t>
        </is>
      </c>
      <c r="O25" s="11" t="n">
        <v>19</v>
      </c>
      <c r="P25" s="11" t="inlineStr">
        <is>
          <t>2025-01 → 2026-07</t>
        </is>
      </c>
      <c r="Q25" s="11" t="n">
        <v>104</v>
      </c>
    </row>
    <row r="26">
      <c r="A26" s="11" t="inlineStr">
        <is>
          <t>M1</t>
        </is>
      </c>
      <c r="B26" s="11" t="inlineStr">
        <is>
          <t>Médical</t>
        </is>
      </c>
      <c r="C26" s="11" t="inlineStr">
        <is>
          <t>Commerce mondial d'instruments médicaux (SH 9018-9022), par pays</t>
        </is>
      </c>
      <c r="D26" s="11" t="inlineStr">
        <is>
          <t>QV2, QV3</t>
        </is>
      </c>
      <c r="E26" s="11" t="inlineStr">
        <is>
          <t>UN Comtrade — commerce international par code SH</t>
        </is>
      </c>
      <c r="F26" s="11" t="inlineStr">
        <is>
          <t>Nations Unies</t>
        </is>
      </c>
      <c r="G26" s="11" t="inlineStr">
        <is>
          <t>hard</t>
        </is>
      </c>
      <c r="H26" s="11" t="inlineStr">
        <is>
          <t>annuelle</t>
        </is>
      </c>
      <c r="I26" s="11" t="inlineStr">
        <is>
          <t>USD</t>
        </is>
      </c>
      <c r="J26" s="11" t="inlineStr">
        <is>
          <t>certifie</t>
        </is>
      </c>
      <c r="K26" s="11" t="n">
        <v>12</v>
      </c>
      <c r="L26" s="11" t="inlineStr">
        <is>
          <t>libre_quota</t>
        </is>
      </c>
      <c r="M26" s="11" t="inlineStr">
        <is>
          <t>API + CSV</t>
        </is>
      </c>
      <c r="N26" s="11" t="inlineStr">
        <is>
          <t>https://comtradeplus.un.org</t>
        </is>
      </c>
      <c r="O26" s="11" t="n">
        <v>897</v>
      </c>
      <c r="P26" s="11" t="inlineStr">
        <is>
          <t>2015 → 2025</t>
        </is>
      </c>
      <c r="Q26" s="11" t="n">
        <v>112</v>
      </c>
    </row>
    <row r="27">
      <c r="A27" s="11" t="inlineStr">
        <is>
          <t>M2</t>
        </is>
      </c>
      <c r="B27" s="11" t="inlineStr">
        <is>
          <t>Médical</t>
        </is>
      </c>
      <c r="C27" s="11" t="inlineStr">
        <is>
          <t>Production de l'industrie manufacturière diverse UE (NACE C32, dont instruments médicaux C32.5)</t>
        </is>
      </c>
      <c r="D27" s="11" t="inlineStr">
        <is>
          <t>QV1</t>
        </is>
      </c>
      <c r="E27" s="11" t="inlineStr">
        <is>
          <t>Eurostat — statistiques conjoncturelles et structurelles</t>
        </is>
      </c>
      <c r="F27" s="11" t="inlineStr">
        <is>
          <t>Commission européenne</t>
        </is>
      </c>
      <c r="G27" s="11" t="inlineStr">
        <is>
          <t>hard</t>
        </is>
      </c>
      <c r="H27" s="11" t="inlineStr">
        <is>
          <t>mensuelle</t>
        </is>
      </c>
      <c r="I27" s="11" t="inlineStr">
        <is>
          <t>indice</t>
        </is>
      </c>
      <c r="J27" s="11" t="inlineStr">
        <is>
          <t>certifie</t>
        </is>
      </c>
      <c r="K27" s="11" t="n">
        <v>12</v>
      </c>
      <c r="L27" s="11" t="inlineStr">
        <is>
          <t>libre</t>
        </is>
      </c>
      <c r="M27" s="11" t="inlineStr">
        <is>
          <t>API + CSV</t>
        </is>
      </c>
      <c r="N27" s="11" t="inlineStr">
        <is>
          <t>https://ec.europa.eu/eurostat/data/database</t>
        </is>
      </c>
      <c r="O27" s="11" t="n">
        <v>1252</v>
      </c>
      <c r="P27" s="11" t="inlineStr">
        <is>
          <t>2015-01 → 2026-06</t>
        </is>
      </c>
      <c r="Q27" s="11" t="n">
        <v>112</v>
      </c>
    </row>
    <row r="28">
      <c r="A28" s="11" t="inlineStr">
        <is>
          <t>M3</t>
        </is>
      </c>
      <c r="B28" s="11" t="inlineStr">
        <is>
          <t>Médical</t>
        </is>
      </c>
      <c r="C28" s="11" t="inlineStr">
        <is>
          <t>Dépenses de santé par pays (part du PIB et par habitant)</t>
        </is>
      </c>
      <c r="D28" s="11" t="inlineStr">
        <is>
          <t>QV2, QV5</t>
        </is>
      </c>
      <c r="E28" s="11" t="inlineStr">
        <is>
          <t>Global Health Expenditure Database</t>
        </is>
      </c>
      <c r="F28" s="11" t="inlineStr">
        <is>
          <t>OMS</t>
        </is>
      </c>
      <c r="G28" s="11" t="inlineStr">
        <is>
          <t>hard</t>
        </is>
      </c>
      <c r="H28" s="11" t="inlineStr">
        <is>
          <t>annuelle</t>
        </is>
      </c>
      <c r="I28" s="11" t="inlineStr">
        <is>
          <t>pourcentage du PIB</t>
        </is>
      </c>
      <c r="J28" s="11" t="inlineStr">
        <is>
          <t>certifie</t>
        </is>
      </c>
      <c r="K28" s="11" t="n">
        <v>3</v>
      </c>
      <c r="L28" s="11" t="inlineStr">
        <is>
          <t>libre</t>
        </is>
      </c>
      <c r="M28" s="11" t="inlineStr">
        <is>
          <t>API / CSV</t>
        </is>
      </c>
      <c r="N28" s="11" t="inlineStr">
        <is>
          <t>https://apps.who.int/nha/database</t>
        </is>
      </c>
      <c r="O28" s="11" t="n">
        <v>3691</v>
      </c>
      <c r="P28" s="11" t="inlineStr">
        <is>
          <t>2023 → 2023</t>
        </is>
      </c>
      <c r="Q28" s="11" t="n">
        <v>112</v>
      </c>
    </row>
    <row r="29">
      <c r="A29" s="11" t="inlineStr">
        <is>
          <t>M4</t>
        </is>
      </c>
      <c r="B29" s="11" t="inlineStr">
        <is>
          <t>Médical</t>
        </is>
      </c>
      <c r="C29" s="11" t="inlineStr">
        <is>
          <t>Emploi et établissements medtech suisses (NOGA 32.5, 26.6)</t>
        </is>
      </c>
      <c r="D29" s="11" t="inlineStr">
        <is>
          <t>QV1</t>
        </is>
      </c>
      <c r="E29" s="11" t="inlineStr">
        <is>
          <t>STATENT et statistiques conjoncturelles</t>
        </is>
      </c>
      <c r="F29" s="11" t="inlineStr">
        <is>
          <t>Office fédéral de la statistique</t>
        </is>
      </c>
      <c r="G29" s="11" t="inlineStr">
        <is>
          <t>hard</t>
        </is>
      </c>
      <c r="H29" s="11" t="inlineStr">
        <is>
          <t>annuelle</t>
        </is>
      </c>
      <c r="I29" s="11" t="inlineStr">
        <is>
          <t>nombre</t>
        </is>
      </c>
      <c r="J29" s="11" t="inlineStr">
        <is>
          <t>certifie</t>
        </is>
      </c>
      <c r="K29" s="11" t="n">
        <v>5</v>
      </c>
      <c r="L29" s="11" t="inlineStr">
        <is>
          <t>libre</t>
        </is>
      </c>
      <c r="M29" s="11" t="inlineStr">
        <is>
          <t>CSV / Excel</t>
        </is>
      </c>
      <c r="N29" s="11" t="inlineStr">
        <is>
          <t>https://www.bfs.admin.ch</t>
        </is>
      </c>
      <c r="O29" s="11" t="n">
        <v>13</v>
      </c>
      <c r="P29" s="11" t="inlineStr">
        <is>
          <t>2023 → 2023</t>
        </is>
      </c>
      <c r="Q29" s="11" t="n">
        <v>112</v>
      </c>
    </row>
    <row r="30">
      <c r="A30" s="13" t="inlineStr">
        <is>
          <t>M5</t>
        </is>
      </c>
      <c r="B30" s="13" t="inlineStr">
        <is>
          <t>Médical</t>
        </is>
      </c>
      <c r="C30" s="13" t="inlineStr">
        <is>
          <t>Panorama de la branche medtech suisse</t>
        </is>
      </c>
      <c r="D30" s="13" t="inlineStr">
        <is>
          <t>QV1, QV3</t>
        </is>
      </c>
      <c r="E30" s="13" t="inlineStr">
        <is>
          <t>Swiss Medical Technology Industry report</t>
        </is>
      </c>
      <c r="F30" s="13" t="inlineStr">
        <is>
          <t>Swiss Medtech</t>
        </is>
      </c>
      <c r="G30" s="13" t="inlineStr">
        <is>
          <t>composite</t>
        </is>
      </c>
      <c r="H30" s="13" t="inlineStr">
        <is>
          <t>bisannuelle</t>
        </is>
      </c>
      <c r="I30" s="13" t="inlineStr">
        <is>
          <t>mia CHF</t>
        </is>
      </c>
      <c r="J30" s="13" t="inlineStr">
        <is>
          <t>a_confirmer</t>
        </is>
      </c>
      <c r="K30" s="13" t="n"/>
      <c r="L30" s="13" t="inlineStr">
        <is>
          <t>libre</t>
        </is>
      </c>
      <c r="M30" s="13" t="inlineStr">
        <is>
          <t>PDF</t>
        </is>
      </c>
      <c r="N30" s="13" t="inlineStr">
        <is>
          <t>https://www.swiss-medtech.ch</t>
        </is>
      </c>
      <c r="O30" s="14" t="inlineStr">
        <is>
          <t>aucune collecte</t>
        </is>
      </c>
      <c r="P30" s="13" t="n"/>
      <c r="Q30" s="13" t="n"/>
    </row>
    <row r="31">
      <c r="A31" s="11" t="inlineStr">
        <is>
          <t>M6</t>
        </is>
      </c>
      <c r="B31" s="11" t="inlineStr">
        <is>
          <t>Médical</t>
        </is>
      </c>
      <c r="C31" s="11" t="inlineStr">
        <is>
          <t>Brevets en technologie médicale, dépôts à l'OEB (OCDE)</t>
        </is>
      </c>
      <c r="D31" s="11" t="inlineStr">
        <is>
          <t>QV4</t>
        </is>
      </c>
      <c r="E31" s="11" t="inlineStr">
        <is>
          <t>Brevets par domaine technologique</t>
        </is>
      </c>
      <c r="F31" s="11" t="inlineStr">
        <is>
          <t>OCDE</t>
        </is>
      </c>
      <c r="G31" s="11" t="inlineStr">
        <is>
          <t>hard</t>
        </is>
      </c>
      <c r="H31" s="11" t="inlineStr">
        <is>
          <t>annuelle</t>
        </is>
      </c>
      <c r="I31" s="11" t="inlineStr">
        <is>
          <t>nombre</t>
        </is>
      </c>
      <c r="J31" s="11" t="inlineStr">
        <is>
          <t>certifie</t>
        </is>
      </c>
      <c r="K31" s="11" t="n"/>
      <c r="L31" s="11" t="inlineStr">
        <is>
          <t>libre</t>
        </is>
      </c>
      <c r="M31" s="11" t="inlineStr">
        <is>
          <t>API SDMX</t>
        </is>
      </c>
      <c r="N31" s="11" t="inlineStr">
        <is>
          <t>https://data-explorer.oecd.org/vis?df[ag]=OECD.STI.PIE&amp;df[id]=DSD_PATENTS@DF_PATENTS_OECDSPECIFIC</t>
        </is>
      </c>
      <c r="O31" s="11" t="n">
        <v>54</v>
      </c>
      <c r="P31" s="11" t="inlineStr">
        <is>
          <t>2014 → 2022</t>
        </is>
      </c>
      <c r="Q31" s="11" t="n">
        <v>112</v>
      </c>
    </row>
    <row r="32">
      <c r="A32" s="11" t="inlineStr">
        <is>
          <t>M7</t>
        </is>
      </c>
      <c r="B32" s="11" t="inlineStr">
        <is>
          <t>Médical</t>
        </is>
      </c>
      <c r="C32" s="11" t="inlineStr">
        <is>
          <t>Avis de marchés publics UE en équipements médicaux (TED, CPV 33)</t>
        </is>
      </c>
      <c r="D32" s="11" t="inlineStr">
        <is>
          <t>QV2, QV5</t>
        </is>
      </c>
      <c r="E32" s="11" t="inlineStr">
        <is>
          <t>Tenders Electronic Daily — marchés publics UE</t>
        </is>
      </c>
      <c r="F32" s="11" t="inlineStr">
        <is>
          <t>Office des publications de l'UE</t>
        </is>
      </c>
      <c r="G32" s="11" t="inlineStr">
        <is>
          <t>hard</t>
        </is>
      </c>
      <c r="H32" s="11" t="inlineStr">
        <is>
          <t>mensuelle</t>
        </is>
      </c>
      <c r="I32" s="11" t="inlineStr">
        <is>
          <t>nombre d'avis</t>
        </is>
      </c>
      <c r="J32" s="11" t="inlineStr">
        <is>
          <t>certifie</t>
        </is>
      </c>
      <c r="K32" s="11" t="n"/>
      <c r="L32" s="11" t="inlineStr">
        <is>
          <t>libre</t>
        </is>
      </c>
      <c r="M32" s="11" t="inlineStr">
        <is>
          <t>API</t>
        </is>
      </c>
      <c r="N32" s="11" t="inlineStr">
        <is>
          <t>https://ted.europa.eu</t>
        </is>
      </c>
      <c r="O32" s="11" t="n">
        <v>14</v>
      </c>
      <c r="P32" s="11" t="inlineStr">
        <is>
          <t>2026-01 → 2026-07</t>
        </is>
      </c>
      <c r="Q32" s="11" t="n">
        <v>78</v>
      </c>
    </row>
    <row r="33">
      <c r="A33" s="11" t="inlineStr">
        <is>
          <t>M8</t>
        </is>
      </c>
      <c r="B33" s="11" t="inlineStr">
        <is>
          <t>Médical</t>
        </is>
      </c>
      <c r="C33" s="11" t="inlineStr">
        <is>
          <t>Autorisations FDA 510(k) de dispositifs médicaux (États-Unis)</t>
        </is>
      </c>
      <c r="D33" s="11" t="inlineStr">
        <is>
          <t>QV2, QV4</t>
        </is>
      </c>
      <c r="E33" s="11" t="inlineStr">
        <is>
          <t>openFDA — bases publiques de la Food and Drug Administration</t>
        </is>
      </c>
      <c r="F33" s="11" t="inlineStr">
        <is>
          <t>U.S. Food and Drug Administration</t>
        </is>
      </c>
      <c r="G33" s="11" t="inlineStr">
        <is>
          <t>hard</t>
        </is>
      </c>
      <c r="H33" s="11" t="inlineStr">
        <is>
          <t>mensuelle</t>
        </is>
      </c>
      <c r="I33" s="11" t="inlineStr">
        <is>
          <t>nombre d'autorisations</t>
        </is>
      </c>
      <c r="J33" s="11" t="inlineStr">
        <is>
          <t>certifie</t>
        </is>
      </c>
      <c r="K33" s="11" t="n"/>
      <c r="L33" s="11" t="inlineStr">
        <is>
          <t>libre</t>
        </is>
      </c>
      <c r="M33" s="11" t="inlineStr">
        <is>
          <t>API</t>
        </is>
      </c>
      <c r="N33" s="11" t="inlineStr">
        <is>
          <t>https://open.fda.gov</t>
        </is>
      </c>
      <c r="O33" s="11" t="n">
        <v>11</v>
      </c>
      <c r="P33" s="11" t="inlineStr">
        <is>
          <t>2025-09 → 2026-07</t>
        </is>
      </c>
      <c r="Q33" s="11" t="n">
        <v>80</v>
      </c>
    </row>
    <row r="34">
      <c r="A34" s="11" t="inlineStr">
        <is>
          <t>T1</t>
        </is>
      </c>
      <c r="B34" s="11" t="inlineStr">
        <is>
          <t>Socle transversal</t>
        </is>
      </c>
      <c r="C34" s="11" t="inlineStr">
        <is>
          <t>Indicateur composite avancé (CLI), zone G20</t>
        </is>
      </c>
      <c r="D34" s="11" t="inlineStr">
        <is>
          <t>QV0</t>
        </is>
      </c>
      <c r="E34" s="11" t="inlineStr">
        <is>
          <t>Principaux indicateurs économiques et CLI</t>
        </is>
      </c>
      <c r="F34" s="11" t="inlineStr">
        <is>
          <t>OCDE</t>
        </is>
      </c>
      <c r="G34" s="11" t="inlineStr">
        <is>
          <t>hard</t>
        </is>
      </c>
      <c r="H34" s="11" t="inlineStr">
        <is>
          <t>mensuelle</t>
        </is>
      </c>
      <c r="I34" s="11" t="inlineStr">
        <is>
          <t>indice</t>
        </is>
      </c>
      <c r="J34" s="11" t="inlineStr">
        <is>
          <t>certifie</t>
        </is>
      </c>
      <c r="K34" s="11" t="n">
        <v>0.5</v>
      </c>
      <c r="L34" s="11" t="inlineStr">
        <is>
          <t>libre</t>
        </is>
      </c>
      <c r="M34" s="11" t="inlineStr">
        <is>
          <t>API + CSV</t>
        </is>
      </c>
      <c r="N34" s="11" t="inlineStr">
        <is>
          <t>https://data-explorer.oecd.org</t>
        </is>
      </c>
      <c r="O34" s="11" t="n">
        <v>966</v>
      </c>
      <c r="P34" s="11" t="inlineStr">
        <is>
          <t>2023-01 → 2026-06</t>
        </is>
      </c>
      <c r="Q34" s="11" t="n">
        <v>112</v>
      </c>
    </row>
    <row r="35">
      <c r="A35" s="11" t="inlineStr">
        <is>
          <t>T10</t>
        </is>
      </c>
      <c r="B35" s="11" t="inlineStr">
        <is>
          <t>Socle transversal</t>
        </is>
      </c>
      <c r="C35" s="11" t="inlineStr">
        <is>
          <t>Part des industriels déclarant la demande comme facteur limitant (UE)</t>
        </is>
      </c>
      <c r="D35" s="11" t="inlineStr">
        <is>
          <t>QV0</t>
        </is>
      </c>
      <c r="E35" s="11" t="inlineStr">
        <is>
          <t>Eurostat — statistiques conjoncturelles et structurelles</t>
        </is>
      </c>
      <c r="F35" s="11" t="inlineStr">
        <is>
          <t>Commission européenne</t>
        </is>
      </c>
      <c r="G35" s="11" t="inlineStr">
        <is>
          <t>hard</t>
        </is>
      </c>
      <c r="H35" s="11" t="inlineStr">
        <is>
          <t>trimestrielle</t>
        </is>
      </c>
      <c r="I35" s="11" t="inlineStr">
        <is>
          <t>pourcentage</t>
        </is>
      </c>
      <c r="J35" s="11" t="inlineStr">
        <is>
          <t>certifie</t>
        </is>
      </c>
      <c r="K35" s="11" t="n"/>
      <c r="L35" s="11" t="inlineStr">
        <is>
          <t>libre</t>
        </is>
      </c>
      <c r="M35" s="11" t="inlineStr">
        <is>
          <t>API + CSV</t>
        </is>
      </c>
      <c r="N35" s="11" t="inlineStr">
        <is>
          <t>https://ec.europa.eu/eurostat/data/database</t>
        </is>
      </c>
      <c r="O35" s="11" t="n">
        <v>153</v>
      </c>
      <c r="P35" s="11" t="inlineStr">
        <is>
          <t>2014-T1 → 2026-T3</t>
        </is>
      </c>
      <c r="Q35" s="11" t="n">
        <v>112</v>
      </c>
    </row>
    <row r="36">
      <c r="A36" s="11" t="inlineStr">
        <is>
          <t>T11</t>
        </is>
      </c>
      <c r="B36" s="11" t="inlineStr">
        <is>
          <t>Socle transversal</t>
        </is>
      </c>
      <c r="C36" s="11" t="inlineStr">
        <is>
          <t>Production manufacturière suisse (NACE C)</t>
        </is>
      </c>
      <c r="D36" s="11" t="inlineStr">
        <is>
          <t>QV0</t>
        </is>
      </c>
      <c r="E36" s="11" t="inlineStr">
        <is>
          <t>Eurostat — statistiques conjoncturelles et structurelles</t>
        </is>
      </c>
      <c r="F36" s="11" t="inlineStr">
        <is>
          <t>Commission européenne</t>
        </is>
      </c>
      <c r="G36" s="11" t="inlineStr">
        <is>
          <t>hard</t>
        </is>
      </c>
      <c r="H36" s="11" t="inlineStr">
        <is>
          <t>mensuelle</t>
        </is>
      </c>
      <c r="I36" s="11" t="inlineStr">
        <is>
          <t>indice</t>
        </is>
      </c>
      <c r="J36" s="11" t="inlineStr">
        <is>
          <t>certifie</t>
        </is>
      </c>
      <c r="K36" s="11" t="n">
        <v>5</v>
      </c>
      <c r="L36" s="11" t="inlineStr">
        <is>
          <t>libre</t>
        </is>
      </c>
      <c r="M36" s="11" t="inlineStr">
        <is>
          <t>API + CSV</t>
        </is>
      </c>
      <c r="N36" s="11" t="inlineStr">
        <is>
          <t>https://ec.europa.eu/eurostat/data/database</t>
        </is>
      </c>
      <c r="O36" s="11" t="n">
        <v>492</v>
      </c>
      <c r="P36" s="11" t="inlineStr">
        <is>
          <t>2014-01 → 2026-06</t>
        </is>
      </c>
      <c r="Q36" s="11" t="n">
        <v>112</v>
      </c>
    </row>
    <row r="37">
      <c r="A37" s="11" t="inlineStr">
        <is>
          <t>T12</t>
        </is>
      </c>
      <c r="B37" s="11" t="inlineStr">
        <is>
          <t>Socle transversal</t>
        </is>
      </c>
      <c r="C37" s="11" t="inlineStr">
        <is>
          <t>Brevets en technique de surface et revêtement (OMPI)</t>
        </is>
      </c>
      <c r="D37" s="11" t="inlineStr">
        <is>
          <t>QV0</t>
        </is>
      </c>
      <c r="E37" s="11" t="inlineStr">
        <is>
          <t>Indicateurs de brevets par domaine technologique</t>
        </is>
      </c>
      <c r="F37" s="11" t="inlineStr">
        <is>
          <t>OMPI</t>
        </is>
      </c>
      <c r="G37" s="11" t="inlineStr">
        <is>
          <t>hard</t>
        </is>
      </c>
      <c r="H37" s="11" t="inlineStr">
        <is>
          <t>annuelle</t>
        </is>
      </c>
      <c r="I37" s="11" t="inlineStr">
        <is>
          <t>nombre</t>
        </is>
      </c>
      <c r="J37" s="11" t="inlineStr">
        <is>
          <t>certifie</t>
        </is>
      </c>
      <c r="K37" s="11" t="n"/>
      <c r="L37" s="11" t="inlineStr">
        <is>
          <t>libre</t>
        </is>
      </c>
      <c r="M37" s="11" t="inlineStr">
        <is>
          <t>ZIP / CSV</t>
        </is>
      </c>
      <c r="N37" s="11" t="inlineStr">
        <is>
          <t>https://www.wipo.int/en/web/ip-statistics</t>
        </is>
      </c>
      <c r="O37" s="11" t="n">
        <v>161</v>
      </c>
      <c r="P37" s="11" t="inlineStr">
        <is>
          <t>2000 → 2022</t>
        </is>
      </c>
      <c r="Q37" s="11" t="n">
        <v>113</v>
      </c>
    </row>
    <row r="38">
      <c r="A38" s="11" t="inlineStr">
        <is>
          <t>T13</t>
        </is>
      </c>
      <c r="B38" s="11" t="inlineStr">
        <is>
          <t>Socle transversal</t>
        </is>
      </c>
      <c r="C38" s="11" t="inlineStr">
        <is>
          <t>Brevets en machines-outils (OMPI)</t>
        </is>
      </c>
      <c r="D38" s="11" t="inlineStr">
        <is>
          <t>QV0</t>
        </is>
      </c>
      <c r="E38" s="11" t="inlineStr">
        <is>
          <t>Indicateurs de brevets par domaine technologique</t>
        </is>
      </c>
      <c r="F38" s="11" t="inlineStr">
        <is>
          <t>OMPI</t>
        </is>
      </c>
      <c r="G38" s="11" t="inlineStr">
        <is>
          <t>hard</t>
        </is>
      </c>
      <c r="H38" s="11" t="inlineStr">
        <is>
          <t>annuelle</t>
        </is>
      </c>
      <c r="I38" s="11" t="inlineStr">
        <is>
          <t>nombre</t>
        </is>
      </c>
      <c r="J38" s="11" t="inlineStr">
        <is>
          <t>certifie</t>
        </is>
      </c>
      <c r="K38" s="11" t="n"/>
      <c r="L38" s="11" t="inlineStr">
        <is>
          <t>libre</t>
        </is>
      </c>
      <c r="M38" s="11" t="inlineStr">
        <is>
          <t>ZIP / CSV</t>
        </is>
      </c>
      <c r="N38" s="11" t="inlineStr">
        <is>
          <t>https://www.wipo.int/en/web/ip-statistics</t>
        </is>
      </c>
      <c r="O38" s="11" t="n">
        <v>161</v>
      </c>
      <c r="P38" s="11" t="inlineStr">
        <is>
          <t>2000 → 2022</t>
        </is>
      </c>
      <c r="Q38" s="11" t="n">
        <v>113</v>
      </c>
    </row>
    <row r="39">
      <c r="A39" s="11" t="inlineStr">
        <is>
          <t>T2</t>
        </is>
      </c>
      <c r="B39" s="11" t="inlineStr">
        <is>
          <t>Socle transversal</t>
        </is>
      </c>
      <c r="C39" s="11" t="inlineStr">
        <is>
          <t>Taux de change CHF/USD et CHF/EUR</t>
        </is>
      </c>
      <c r="D39" s="11" t="inlineStr">
        <is>
          <t>QV0</t>
        </is>
      </c>
      <c r="E39" s="11" t="inlineStr">
        <is>
          <t>Taux de change de référence</t>
        </is>
      </c>
      <c r="F39" s="11" t="inlineStr">
        <is>
          <t>Banque nationale suisse</t>
        </is>
      </c>
      <c r="G39" s="11" t="inlineStr">
        <is>
          <t>hard</t>
        </is>
      </c>
      <c r="H39" s="11" t="inlineStr">
        <is>
          <t>mensuelle</t>
        </is>
      </c>
      <c r="I39" s="11" t="inlineStr">
        <is>
          <t>taux</t>
        </is>
      </c>
      <c r="J39" s="11" t="inlineStr">
        <is>
          <t>certifie</t>
        </is>
      </c>
      <c r="K39" s="11" t="n">
        <v>7</v>
      </c>
      <c r="L39" s="11" t="inlineStr">
        <is>
          <t>libre</t>
        </is>
      </c>
      <c r="M39" s="11" t="inlineStr">
        <is>
          <t>API / CSV</t>
        </is>
      </c>
      <c r="N39" s="11" t="inlineStr">
        <is>
          <t>https://data.snb.ch</t>
        </is>
      </c>
      <c r="O39" s="11" t="n">
        <v>2924</v>
      </c>
      <c r="P39" s="11" t="inlineStr">
        <is>
          <t>2023-01 → 2026-07</t>
        </is>
      </c>
      <c r="Q39" s="11" t="n">
        <v>112</v>
      </c>
    </row>
    <row r="40">
      <c r="A40" s="11" t="inlineStr">
        <is>
          <t>T3</t>
        </is>
      </c>
      <c r="B40" s="11" t="inlineStr">
        <is>
          <t>Socle transversal</t>
        </is>
      </c>
      <c r="C40" s="11" t="inlineStr">
        <is>
          <t>Commerce mondial de marchandises (volume)</t>
        </is>
      </c>
      <c r="D40" s="11" t="inlineStr">
        <is>
          <t>QV0</t>
        </is>
      </c>
      <c r="E40" s="11" t="inlineStr">
        <is>
          <t>World Trade Monitor</t>
        </is>
      </c>
      <c r="F40" s="11" t="inlineStr">
        <is>
          <t>CPB Netherlands Bureau for Economic Policy Analysis</t>
        </is>
      </c>
      <c r="G40" s="11" t="inlineStr">
        <is>
          <t>hard</t>
        </is>
      </c>
      <c r="H40" s="11" t="inlineStr">
        <is>
          <t>mensuelle</t>
        </is>
      </c>
      <c r="I40" s="11" t="inlineStr">
        <is>
          <t>indice</t>
        </is>
      </c>
      <c r="J40" s="11" t="inlineStr">
        <is>
          <t>certifie</t>
        </is>
      </c>
      <c r="K40" s="11" t="n">
        <v>3</v>
      </c>
      <c r="L40" s="11" t="inlineStr">
        <is>
          <t>libre</t>
        </is>
      </c>
      <c r="M40" s="11" t="inlineStr">
        <is>
          <t>Excel</t>
        </is>
      </c>
      <c r="N40" s="11" t="inlineStr">
        <is>
          <t>https://www.cpb.nl/en/worldtrademonitor/latest</t>
        </is>
      </c>
      <c r="O40" s="11" t="n">
        <v>164</v>
      </c>
      <c r="P40" s="11" t="inlineStr">
        <is>
          <t>2023-01 → 2026-05</t>
        </is>
      </c>
      <c r="Q40" s="11" t="n">
        <v>96</v>
      </c>
    </row>
    <row r="41">
      <c r="A41" s="11" t="inlineStr">
        <is>
          <t>T4</t>
        </is>
      </c>
      <c r="B41" s="11" t="inlineStr">
        <is>
          <t>Socle transversal</t>
        </is>
      </c>
      <c r="C41" s="11" t="inlineStr">
        <is>
          <t>Croissance du PIB mondial</t>
        </is>
      </c>
      <c r="D41" s="11" t="inlineStr">
        <is>
          <t>QV0</t>
        </is>
      </c>
      <c r="E41" s="11" t="inlineStr">
        <is>
          <t>World Economic Outlook</t>
        </is>
      </c>
      <c r="F41" s="11" t="inlineStr">
        <is>
          <t>Fonds monétaire international</t>
        </is>
      </c>
      <c r="G41" s="11" t="inlineStr">
        <is>
          <t>hard</t>
        </is>
      </c>
      <c r="H41" s="11" t="inlineStr">
        <is>
          <t>semestrielle</t>
        </is>
      </c>
      <c r="I41" s="11" t="inlineStr">
        <is>
          <t>pourcentage</t>
        </is>
      </c>
      <c r="J41" s="11" t="inlineStr">
        <is>
          <t>certifie</t>
        </is>
      </c>
      <c r="K41" s="11" t="n"/>
      <c r="L41" s="11" t="inlineStr">
        <is>
          <t>libre</t>
        </is>
      </c>
      <c r="M41" s="11" t="inlineStr">
        <is>
          <t>CSV</t>
        </is>
      </c>
      <c r="N41" s="11" t="inlineStr">
        <is>
          <t>https://www.imf.org/en/Publications/WEO</t>
        </is>
      </c>
      <c r="O41" s="11" t="n">
        <v>81</v>
      </c>
      <c r="P41" s="11" t="inlineStr">
        <is>
          <t>2023 → 2025</t>
        </is>
      </c>
      <c r="Q41" s="11" t="n">
        <v>112</v>
      </c>
    </row>
    <row r="42">
      <c r="A42" s="11" t="inlineStr">
        <is>
          <t>T5</t>
        </is>
      </c>
      <c r="B42" s="11" t="inlineStr">
        <is>
          <t>Socle transversal</t>
        </is>
      </c>
      <c r="C42" s="11" t="inlineStr">
        <is>
          <t>Attentes de production de l'industrie européenne (solde d'opinion à 3 mois)</t>
        </is>
      </c>
      <c r="D42" s="11" t="inlineStr">
        <is>
          <t>QV0</t>
        </is>
      </c>
      <c r="E42" s="11" t="inlineStr">
        <is>
          <t>Eurostat — statistiques conjoncturelles et structurelles</t>
        </is>
      </c>
      <c r="F42" s="11" t="inlineStr">
        <is>
          <t>Commission européenne</t>
        </is>
      </c>
      <c r="G42" s="11" t="inlineStr">
        <is>
          <t>hard</t>
        </is>
      </c>
      <c r="H42" s="11" t="inlineStr">
        <is>
          <t>mensuelle</t>
        </is>
      </c>
      <c r="I42" s="11" t="inlineStr">
        <is>
          <t>solde d'opinion</t>
        </is>
      </c>
      <c r="J42" s="11" t="inlineStr">
        <is>
          <t>certifie</t>
        </is>
      </c>
      <c r="K42" s="11" t="n"/>
      <c r="L42" s="11" t="inlineStr">
        <is>
          <t>libre</t>
        </is>
      </c>
      <c r="M42" s="11" t="inlineStr">
        <is>
          <t>API + CSV</t>
        </is>
      </c>
      <c r="N42" s="11" t="inlineStr">
        <is>
          <t>https://ec.europa.eu/eurostat/data/database</t>
        </is>
      </c>
      <c r="O42" s="11" t="n">
        <v>770</v>
      </c>
      <c r="P42" s="11" t="inlineStr">
        <is>
          <t>2014-01 → 2026-07</t>
        </is>
      </c>
      <c r="Q42" s="11" t="n">
        <v>112</v>
      </c>
    </row>
    <row r="43">
      <c r="A43" s="11" t="inlineStr">
        <is>
          <t>T6</t>
        </is>
      </c>
      <c r="B43" s="11" t="inlineStr">
        <is>
          <t>Socle transversal</t>
        </is>
      </c>
      <c r="C43" s="11" t="inlineStr">
        <is>
          <t>Baromètre conjoncturel KOF (Suisse)</t>
        </is>
      </c>
      <c r="D43" s="11" t="inlineStr">
        <is>
          <t>QV0</t>
        </is>
      </c>
      <c r="E43" s="11" t="inlineStr">
        <is>
          <t>Baromètre conjoncturel KOF</t>
        </is>
      </c>
      <c r="F43" s="11" t="inlineStr">
        <is>
          <t>KOF ETH Zurich</t>
        </is>
      </c>
      <c r="G43" s="11" t="inlineStr">
        <is>
          <t>hard</t>
        </is>
      </c>
      <c r="H43" s="11" t="inlineStr">
        <is>
          <t>mensuelle</t>
        </is>
      </c>
      <c r="I43" s="11" t="inlineStr">
        <is>
          <t>indice</t>
        </is>
      </c>
      <c r="J43" s="11" t="inlineStr">
        <is>
          <t>certifie</t>
        </is>
      </c>
      <c r="K43" s="11" t="n"/>
      <c r="L43" s="11" t="inlineStr">
        <is>
          <t>libre</t>
        </is>
      </c>
      <c r="M43" s="11" t="inlineStr">
        <is>
          <t>API / CSV</t>
        </is>
      </c>
      <c r="N43" s="11" t="inlineStr">
        <is>
          <t>https://data.kof.ethz.ch</t>
        </is>
      </c>
      <c r="O43" s="11" t="n">
        <v>473</v>
      </c>
      <c r="P43" s="11" t="inlineStr">
        <is>
          <t>2023-01 → 2026-07</t>
        </is>
      </c>
      <c r="Q43" s="11" t="n">
        <v>112</v>
      </c>
    </row>
    <row r="44">
      <c r="A44" s="11" t="inlineStr">
        <is>
          <t>T7</t>
        </is>
      </c>
      <c r="B44" s="11" t="inlineStr">
        <is>
          <t>Socle transversal</t>
        </is>
      </c>
      <c r="C44" s="11" t="inlineStr">
        <is>
          <t>Production de l'usinage et du traitement des métaux UE (NACE C25.6)</t>
        </is>
      </c>
      <c r="D44" s="11" t="inlineStr">
        <is>
          <t>QV0</t>
        </is>
      </c>
      <c r="E44" s="11" t="inlineStr">
        <is>
          <t>Eurostat — statistiques conjoncturelles et structurelles</t>
        </is>
      </c>
      <c r="F44" s="11" t="inlineStr">
        <is>
          <t>Commission européenne</t>
        </is>
      </c>
      <c r="G44" s="11" t="inlineStr">
        <is>
          <t>hard</t>
        </is>
      </c>
      <c r="H44" s="11" t="inlineStr">
        <is>
          <t>mensuelle</t>
        </is>
      </c>
      <c r="I44" s="11" t="inlineStr">
        <is>
          <t>indice</t>
        </is>
      </c>
      <c r="J44" s="11" t="inlineStr">
        <is>
          <t>certifie</t>
        </is>
      </c>
      <c r="K44" s="11" t="n"/>
      <c r="L44" s="11" t="inlineStr">
        <is>
          <t>libre</t>
        </is>
      </c>
      <c r="M44" s="11" t="inlineStr">
        <is>
          <t>API + CSV</t>
        </is>
      </c>
      <c r="N44" s="11" t="inlineStr">
        <is>
          <t>https://ec.europa.eu/eurostat/data/database</t>
        </is>
      </c>
      <c r="O44" s="11" t="n">
        <v>702</v>
      </c>
      <c r="P44" s="11" t="inlineStr">
        <is>
          <t>2014-01 → 2026-06</t>
        </is>
      </c>
      <c r="Q44" s="11" t="n">
        <v>112</v>
      </c>
    </row>
    <row r="45">
      <c r="A45" s="11" t="inlineStr">
        <is>
          <t>T8</t>
        </is>
      </c>
      <c r="B45" s="11" t="inlineStr">
        <is>
          <t>Socle transversal</t>
        </is>
      </c>
      <c r="C45" s="11" t="inlineStr">
        <is>
          <t>État du carnet de commandes de l'industrie UE (enquête de conjoncture)</t>
        </is>
      </c>
      <c r="D45" s="11" t="inlineStr">
        <is>
          <t>QV0</t>
        </is>
      </c>
      <c r="E45" s="11" t="inlineStr">
        <is>
          <t>Eurostat — statistiques conjoncturelles et structurelles</t>
        </is>
      </c>
      <c r="F45" s="11" t="inlineStr">
        <is>
          <t>Commission européenne</t>
        </is>
      </c>
      <c r="G45" s="11" t="inlineStr">
        <is>
          <t>hard</t>
        </is>
      </c>
      <c r="H45" s="11" t="inlineStr">
        <is>
          <t>mensuelle</t>
        </is>
      </c>
      <c r="I45" s="11" t="inlineStr">
        <is>
          <t>solde</t>
        </is>
      </c>
      <c r="J45" s="11" t="inlineStr">
        <is>
          <t>certifie</t>
        </is>
      </c>
      <c r="K45" s="11" t="n"/>
      <c r="L45" s="11" t="inlineStr">
        <is>
          <t>libre</t>
        </is>
      </c>
      <c r="M45" s="11" t="inlineStr">
        <is>
          <t>API + CSV</t>
        </is>
      </c>
      <c r="N45" s="11" t="inlineStr">
        <is>
          <t>https://ec.europa.eu/eurostat/data/database</t>
        </is>
      </c>
      <c r="O45" s="11" t="n">
        <v>496</v>
      </c>
      <c r="P45" s="11" t="inlineStr">
        <is>
          <t>2014-01 → 2026-07</t>
        </is>
      </c>
      <c r="Q45" s="11" t="n">
        <v>112</v>
      </c>
    </row>
    <row r="46">
      <c r="A46" s="11" t="inlineStr">
        <is>
          <t>T9</t>
        </is>
      </c>
      <c r="B46" s="11" t="inlineStr">
        <is>
          <t>Socle transversal</t>
        </is>
      </c>
      <c r="C46" s="11" t="inlineStr">
        <is>
          <t>Taux d'utilisation des capacités de l'industrie UE</t>
        </is>
      </c>
      <c r="D46" s="11" t="inlineStr">
        <is>
          <t>QV0</t>
        </is>
      </c>
      <c r="E46" s="11" t="inlineStr">
        <is>
          <t>Eurostat — statistiques conjoncturelles et structurelles</t>
        </is>
      </c>
      <c r="F46" s="11" t="inlineStr">
        <is>
          <t>Commission européenne</t>
        </is>
      </c>
      <c r="G46" s="11" t="inlineStr">
        <is>
          <t>hard</t>
        </is>
      </c>
      <c r="H46" s="11" t="inlineStr">
        <is>
          <t>trimestrielle</t>
        </is>
      </c>
      <c r="I46" s="11" t="inlineStr">
        <is>
          <t>pourcentage</t>
        </is>
      </c>
      <c r="J46" s="11" t="inlineStr">
        <is>
          <t>certifie</t>
        </is>
      </c>
      <c r="K46" s="11" t="n"/>
      <c r="L46" s="11" t="inlineStr">
        <is>
          <t>libre</t>
        </is>
      </c>
      <c r="M46" s="11" t="inlineStr">
        <is>
          <t>API + CSV</t>
        </is>
      </c>
      <c r="N46" s="11" t="inlineStr">
        <is>
          <t>https://ec.europa.eu/eurostat/data/database</t>
        </is>
      </c>
      <c r="O46" s="11" t="n">
        <v>153</v>
      </c>
      <c r="P46" s="11" t="inlineStr">
        <is>
          <t>2014-T1 → 2026-T3</t>
        </is>
      </c>
      <c r="Q46" s="11" t="n">
        <v>112</v>
      </c>
    </row>
  </sheetData>
  <autoFilter ref="A1:Q46"/>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22"/>
  <sheetViews>
    <sheetView workbookViewId="0">
      <pane ySplit="1" topLeftCell="A2" activePane="bottomLeft" state="frozen"/>
      <selection pane="bottomLeft" activeCell="A1" sqref="A1"/>
    </sheetView>
  </sheetViews>
  <sheetFormatPr baseColWidth="8" defaultRowHeight="15"/>
  <cols>
    <col width="19" customWidth="1" min="1" max="1"/>
    <col width="11" customWidth="1" min="2" max="2"/>
    <col width="25" customWidth="1" min="3" max="3"/>
    <col width="60" customWidth="1" min="4" max="4"/>
    <col width="70" customWidth="1" min="5" max="5"/>
    <col width="15" customWidth="1" min="6" max="6"/>
    <col width="13" customWidth="1" min="7" max="7"/>
    <col width="16" customWidth="1" min="8" max="8"/>
  </cols>
  <sheetData>
    <row r="1" ht="32" customHeight="1">
      <c r="A1" s="5" t="inlineStr">
        <is>
          <t>Secteur</t>
        </is>
      </c>
      <c r="B1" s="5" t="inlineStr">
        <is>
          <t>Code</t>
        </is>
      </c>
      <c r="C1" s="5" t="inlineStr">
        <is>
          <t>Angle invariant</t>
        </is>
      </c>
      <c r="D1" s="5" t="inlineStr">
        <is>
          <t>Question telle qu'elle se pose</t>
        </is>
      </c>
      <c r="E1" s="5" t="inlineStr">
        <is>
          <t>Mécanisme causal en jeu</t>
        </is>
      </c>
      <c r="F1" s="5" t="inlineStr">
        <is>
          <t>Criticité</t>
        </is>
      </c>
      <c r="G1" s="5" t="inlineStr">
        <is>
          <t>Indicateurs</t>
        </is>
      </c>
      <c r="H1" s="5" t="inlineStr">
        <is>
          <t>dont certifiés</t>
        </is>
      </c>
    </row>
    <row r="2">
      <c r="A2" s="15" t="inlineStr">
        <is>
          <t>Aérospatial</t>
        </is>
      </c>
      <c r="B2" s="15" t="inlineStr">
        <is>
          <t>QV1</t>
        </is>
      </c>
      <c r="C2" s="15" t="inlineStr">
        <is>
          <t>Santé structurelle</t>
        </is>
      </c>
      <c r="D2" s="15" t="inlineStr">
        <is>
          <t>Les carnets de commandes et les cadences de livraison des avionneurs assurent-ils une charge pluriannuelle à la chaîne de sous-traitance ?</t>
        </is>
      </c>
      <c r="E2" s="15" t="inlineStr">
        <is>
          <t>Cycle long : le carnet donne une visibilité de plusieurs années, ce qui inverse la logique de veille. On surveille les révisions de cadence annoncées, non les retournements de demande.</t>
        </is>
      </c>
      <c r="F2" s="15" t="inlineStr">
        <is>
          <t>dominante</t>
        </is>
      </c>
      <c r="G2" s="15" t="n">
        <v>2</v>
      </c>
      <c r="H2" s="15" t="n">
        <v>2</v>
      </c>
    </row>
    <row r="3">
      <c r="A3" s="16" t="inlineStr">
        <is>
          <t>Aérospatial</t>
        </is>
      </c>
      <c r="B3" s="16" t="inlineStr">
        <is>
          <t>QV2</t>
        </is>
      </c>
      <c r="C3" s="16" t="inlineStr">
        <is>
          <t>Demande et débouchés</t>
        </is>
      </c>
      <c r="D3" s="16" t="inlineStr">
        <is>
          <t>La demande de transport aérien soutient-elle le renouvellement des flottes ?</t>
        </is>
      </c>
      <c r="E3" s="16" t="inlineStr">
        <is>
          <t>Le trafic passagers précède les commandes d'appareils de plusieurs trimestres : c'est l'indicateur avancé du cycle civil, en amont du carnet de commandes.</t>
        </is>
      </c>
      <c r="F3" s="16" t="inlineStr">
        <is>
          <t>significative</t>
        </is>
      </c>
      <c r="G3" s="16" t="n">
        <v>4</v>
      </c>
      <c r="H3" s="16" t="n">
        <v>3</v>
      </c>
    </row>
    <row r="4">
      <c r="A4" s="16" t="inlineStr">
        <is>
          <t>Aérospatial</t>
        </is>
      </c>
      <c r="B4" s="16" t="inlineStr">
        <is>
          <t>QV3</t>
        </is>
      </c>
      <c r="C4" s="16" t="inlineStr">
        <is>
          <t>Dynamique géographique</t>
        </is>
      </c>
      <c r="D4" s="16" t="inlineStr">
        <is>
          <t>Quels États accèdent à une capacité spatiale autonome ?</t>
        </is>
      </c>
      <c r="E4" s="16" t="inlineStr">
        <is>
          <t>L'entrée de nouveaux acteurs nationaux ouvre des chaînes d'approvisionnement nouvelles, mais souvent captives pour raisons de souveraineté. L'opportunité est réelle et l'accès contraint.</t>
        </is>
      </c>
      <c r="F4" s="16" t="inlineStr">
        <is>
          <t>significative</t>
        </is>
      </c>
      <c r="G4" s="16" t="n">
        <v>1</v>
      </c>
      <c r="H4" s="16" t="n">
        <v>1</v>
      </c>
    </row>
    <row r="5">
      <c r="A5" s="15" t="inlineStr">
        <is>
          <t>Aérospatial</t>
        </is>
      </c>
      <c r="B5" s="15" t="inlineStr">
        <is>
          <t>QV4</t>
        </is>
      </c>
      <c r="C5" s="15" t="inlineStr">
        <is>
          <t>Dynamique technologique</t>
        </is>
      </c>
      <c r="D5" s="15" t="inlineStr">
        <is>
          <t>Quelles ruptures techniques — lanceurs réutilisables, constellations, propulsion alternative — modifient les volumes et les tolérances demandés ?</t>
        </is>
      </c>
      <c r="E5" s="15" t="inlineStr">
        <is>
          <t>La réutilisabilité réduit le nombre de lanceurs produits tout en durcissant les exigences de qualification ; les constellations inversent la logique du secteur en demandant de la série là où le spatial était unitaire. Deux effets de sens opposé sur le volume de sous-traitance.</t>
        </is>
      </c>
      <c r="F5" s="15" t="inlineStr">
        <is>
          <t>dominante</t>
        </is>
      </c>
      <c r="G5" s="15" t="n">
        <v>0</v>
      </c>
      <c r="H5" s="15" t="n">
        <v>0</v>
      </c>
    </row>
    <row r="6">
      <c r="A6" s="15" t="inlineStr">
        <is>
          <t>Aérospatial</t>
        </is>
      </c>
      <c r="B6" s="15" t="inlineStr">
        <is>
          <t>QV5</t>
        </is>
      </c>
      <c r="C6" s="15" t="inlineStr">
        <is>
          <t>Impulsions publiques</t>
        </is>
      </c>
      <c r="D6" s="15" t="inlineStr">
        <is>
          <t>Les budgets de défense et les budgets spatiaux publics progressent-ils, et sur quels programmes ?</t>
        </is>
      </c>
      <c r="E6" s="15" t="inlineStr">
        <is>
          <t>La dépense publique EST la demande : défense et spatial institutionnel sont des marchés budgétaires. Une décision budgétaire n'est pas un signal indirect, c'est une commande à venir.</t>
        </is>
      </c>
      <c r="F6" s="15" t="inlineStr">
        <is>
          <t>dominante</t>
        </is>
      </c>
      <c r="G6" s="15" t="n">
        <v>3</v>
      </c>
      <c r="H6" s="15" t="n">
        <v>2</v>
      </c>
    </row>
    <row r="7">
      <c r="A7" s="15" t="inlineStr">
        <is>
          <t>Automobile</t>
        </is>
      </c>
      <c r="B7" s="15" t="inlineStr">
        <is>
          <t>QV1</t>
        </is>
      </c>
      <c r="C7" s="15" t="inlineStr">
        <is>
          <t>Santé structurelle</t>
        </is>
      </c>
      <c r="D7" s="15" t="inlineStr">
        <is>
          <t>La production automobile européenne recule-t-elle plus vite que l'industrie manufacturière dans son ensemble ?</t>
        </is>
      </c>
      <c r="E7" s="15" t="inlineStr">
        <is>
          <t>Cyclicité forte, amplifiée en amont : une variation de production finale se répercute sur les carnets de la sous-traitance avec un effet d'accélérateur. La comparaison à la production manufacturière totale sépare le choc sectoriel du choc conjoncturel.</t>
        </is>
      </c>
      <c r="F7" s="15" t="inlineStr">
        <is>
          <t>dominante</t>
        </is>
      </c>
      <c r="G7" s="15" t="n">
        <v>3</v>
      </c>
      <c r="H7" s="15" t="n">
        <v>3</v>
      </c>
    </row>
    <row r="8">
      <c r="A8" s="15" t="inlineStr">
        <is>
          <t>Automobile</t>
        </is>
      </c>
      <c r="B8" s="15" t="inlineStr">
        <is>
          <t>QV2</t>
        </is>
      </c>
      <c r="C8" s="15" t="inlineStr">
        <is>
          <t>Demande et débouchés</t>
        </is>
      </c>
      <c r="D8" s="15" t="inlineStr">
        <is>
          <t>Les immatriculations et les flux de pièces indiquent-ils une reprise ou une contraction de la demande adressable ?</t>
        </is>
      </c>
      <c r="E8" s="15" t="inlineStr">
        <is>
          <t>Les immatriculations mesurent la demande finale, le commerce de pièces mesure le marché directement adressable par la sous-traitance. Les deux peuvent diverger — un marché stable en véhicules peut se contracter en pièces si le contenu mécanique par véhicule diminue.</t>
        </is>
      </c>
      <c r="F8" s="15" t="inlineStr">
        <is>
          <t>dominante</t>
        </is>
      </c>
      <c r="G8" s="15" t="n">
        <v>4</v>
      </c>
      <c r="H8" s="15" t="n">
        <v>4</v>
      </c>
    </row>
    <row r="9">
      <c r="A9" s="16" t="inlineStr">
        <is>
          <t>Automobile</t>
        </is>
      </c>
      <c r="B9" s="16" t="inlineStr">
        <is>
          <t>QV3</t>
        </is>
      </c>
      <c r="C9" s="16" t="inlineStr">
        <is>
          <t>Dynamique géographique</t>
        </is>
      </c>
      <c r="D9" s="16" t="inlineStr">
        <is>
          <t>Le centre de gravité de la production automobile se déplace-t-il hors d'Europe ?</t>
        </is>
      </c>
      <c r="E9" s="16" t="inlineStr">
        <is>
          <t>La délocalisation de l'assemblage final entraîne celle des chaînes d'approvisionnement de rang 1 et 2. Menace structurelle sur l'avantage de proximité géographique du sous-traitant européen.</t>
        </is>
      </c>
      <c r="F9" s="16" t="inlineStr">
        <is>
          <t>significative</t>
        </is>
      </c>
      <c r="G9" s="16" t="n">
        <v>2</v>
      </c>
      <c r="H9" s="16" t="n">
        <v>2</v>
      </c>
    </row>
    <row r="10">
      <c r="A10" s="15" t="inlineStr">
        <is>
          <t>Automobile</t>
        </is>
      </c>
      <c r="B10" s="15" t="inlineStr">
        <is>
          <t>QV4</t>
        </is>
      </c>
      <c r="C10" s="15" t="inlineStr">
        <is>
          <t>Dynamique technologique</t>
        </is>
      </c>
      <c r="D10" s="15" t="inlineStr">
        <is>
          <t>L'électrification recompose-t-elle la demande de composants mécaniques, et à quel rythme selon les marchés ?</t>
        </is>
      </c>
      <c r="E10" s="15" t="inlineStr">
        <is>
          <t>Substitution technologique à effet asymétrique : disparition des familles de pièces liées à la motorisation thermique, apparition de familles nouvelles, et diminution du nombre total de pièces usinées par véhicule. C'est la mutation la plus déterminante du portefeuille pour un décolleteur.</t>
        </is>
      </c>
      <c r="F10" s="15" t="inlineStr">
        <is>
          <t>dominante</t>
        </is>
      </c>
      <c r="G10" s="15" t="n">
        <v>2</v>
      </c>
      <c r="H10" s="15" t="n">
        <v>2</v>
      </c>
    </row>
    <row r="11">
      <c r="A11" s="15" t="inlineStr">
        <is>
          <t>Automobile</t>
        </is>
      </c>
      <c r="B11" s="15" t="inlineStr">
        <is>
          <t>QV5</t>
        </is>
      </c>
      <c r="C11" s="15" t="inlineStr">
        <is>
          <t>Impulsions publiques</t>
        </is>
      </c>
      <c r="D11" s="15" t="inlineStr">
        <is>
          <t>Quelles décisions réglementaires — normes d'émission, calendrier d'interdiction du thermique, dispositifs d'incitation — modifient la composition de la demande ?</t>
        </is>
      </c>
      <c r="E11" s="15" t="inlineStr">
        <is>
          <t>L'action publique ne finance ni n'achète : elle fixe le calendrier de la substitution technologique. Elle agit sur la composition de la demande, non sur son niveau — ce qui explique qu'aucune série statistique budgétaire ne la capte.</t>
        </is>
      </c>
      <c r="F11" s="15" t="inlineStr">
        <is>
          <t>dominante</t>
        </is>
      </c>
      <c r="G11" s="15" t="n">
        <v>0</v>
      </c>
      <c r="H11" s="15" t="n">
        <v>0</v>
      </c>
    </row>
    <row r="12">
      <c r="A12" s="15" t="inlineStr">
        <is>
          <t>Horlogerie</t>
        </is>
      </c>
      <c r="B12" s="15" t="inlineStr">
        <is>
          <t>QV1</t>
        </is>
      </c>
      <c r="C12" s="15" t="inlineStr">
        <is>
          <t>Santé structurelle</t>
        </is>
      </c>
      <c r="D12" s="15" t="inlineStr">
        <is>
          <t>L'appareil productif horloger suisse se maintient-il en emplois et en établissements, indépendamment du niveau des exportations en valeur ?</t>
        </is>
      </c>
      <c r="E12" s="15" t="inlineStr">
        <is>
          <t>La branche peut exporter davantage en valeur tout en perdant des établissements : la montée en gamme masque l'érosion du tissu de sous-traitance, qui est précisément le segment concerné par le cas d'illustration.</t>
        </is>
      </c>
      <c r="F12" s="15" t="inlineStr">
        <is>
          <t>dominante</t>
        </is>
      </c>
      <c r="G12" s="15" t="n">
        <v>5</v>
      </c>
      <c r="H12" s="15" t="n">
        <v>4</v>
      </c>
    </row>
    <row r="13">
      <c r="A13" s="15" t="inlineStr">
        <is>
          <t>Horlogerie</t>
        </is>
      </c>
      <c r="B13" s="15" t="inlineStr">
        <is>
          <t>QV2</t>
        </is>
      </c>
      <c r="C13" s="15" t="inlineStr">
        <is>
          <t>Demande et débouchés</t>
        </is>
      </c>
      <c r="D13" s="15" t="inlineStr">
        <is>
          <t>Vers quels marchés de destination les exportations horlogères se déplacent-elles, et à quel rythme ?</t>
        </is>
      </c>
      <c r="E13" s="15" t="inlineStr">
        <is>
          <t>Demande finale de luxe, très concentrée géographiquement et sensible aux chocs de change et de droits de douane. Elle se transmet à la sous-traitance avec un décalage de quelques mois.</t>
        </is>
      </c>
      <c r="F13" s="15" t="inlineStr">
        <is>
          <t>dominante</t>
        </is>
      </c>
      <c r="G13" s="15" t="n">
        <v>4</v>
      </c>
      <c r="H13" s="15" t="n">
        <v>4</v>
      </c>
    </row>
    <row r="14">
      <c r="A14" s="16" t="inlineStr">
        <is>
          <t>Horlogerie</t>
        </is>
      </c>
      <c r="B14" s="16" t="inlineStr">
        <is>
          <t>QV3</t>
        </is>
      </c>
      <c r="C14" s="16" t="inlineStr">
        <is>
          <t>Dynamique géographique</t>
        </is>
      </c>
      <c r="D14" s="16" t="inlineStr">
        <is>
          <t>La production horlogère reste-t-elle concentrée en Suisse, ou des pôles concurrents captent-ils des parts du commerce mondial d'articles d'horlogerie ?</t>
        </is>
      </c>
      <c r="E14" s="16" t="inlineStr">
        <is>
          <t>Concurrence de substitution par le milieu de gamme asiatique. Menace lente mais structurelle sur les volumes de sous-traitance, invisible dans les seules statistiques suisses.</t>
        </is>
      </c>
      <c r="F14" s="16" t="inlineStr">
        <is>
          <t>significative</t>
        </is>
      </c>
      <c r="G14" s="16" t="n">
        <v>1</v>
      </c>
      <c r="H14" s="16" t="n">
        <v>1</v>
      </c>
    </row>
    <row r="15">
      <c r="A15" s="16" t="inlineStr">
        <is>
          <t>Horlogerie</t>
        </is>
      </c>
      <c r="B15" s="16" t="inlineStr">
        <is>
          <t>QV4</t>
        </is>
      </c>
      <c r="C15" s="16" t="inlineStr">
        <is>
          <t>Dynamique technologique</t>
        </is>
      </c>
      <c r="D15" s="16" t="inlineStr">
        <is>
          <t>La montre connectée et les nouveaux matériaux recomposent-ils la demande de composants mécaniques ?</t>
        </is>
      </c>
      <c r="E15" s="16" t="inlineStr">
        <is>
          <t>Substitution technologique partielle : le produit connecté ne remplace pas le luxe mécanique mais comprime l'entrée de gamme, segment à fort volume de pièces usinées.</t>
        </is>
      </c>
      <c r="F15" s="16" t="inlineStr">
        <is>
          <t>significative</t>
        </is>
      </c>
      <c r="G15" s="16" t="n">
        <v>1</v>
      </c>
      <c r="H15" s="16" t="n">
        <v>1</v>
      </c>
    </row>
    <row r="16">
      <c r="A16" s="17" t="inlineStr">
        <is>
          <t>Horlogerie</t>
        </is>
      </c>
      <c r="B16" s="17" t="inlineStr">
        <is>
          <t>QV5</t>
        </is>
      </c>
      <c r="C16" s="17" t="inlineStr">
        <is>
          <t>Impulsions publiques</t>
        </is>
      </c>
      <c r="D16" s="17" t="inlineStr">
        <is>
          <t>Quelles décisions publiques — droits de douane, accords commerciaux, réglementation Swiss made — modifient les conditions d'accès aux marchés ?</t>
        </is>
      </c>
      <c r="E16" s="17" t="inlineStr">
        <is>
          <t>L'action publique n'est ici ni acheteuse ni finançante : elle agit sur les conditions d'accès et les règles d'origine, donc sur les prix relatifs et non sur le niveau de la demande. Le choc douanier de 2025 constitue l'exception qui rend la question observable.</t>
        </is>
      </c>
      <c r="F16" s="17" t="inlineStr">
        <is>
          <t>marginale</t>
        </is>
      </c>
      <c r="G16" s="17" t="n">
        <v>1</v>
      </c>
      <c r="H16" s="17" t="n">
        <v>0</v>
      </c>
    </row>
    <row r="17">
      <c r="A17" s="16" t="inlineStr">
        <is>
          <t>Médical</t>
        </is>
      </c>
      <c r="B17" s="16" t="inlineStr">
        <is>
          <t>QV1</t>
        </is>
      </c>
      <c r="C17" s="16" t="inlineStr">
        <is>
          <t>Santé structurelle</t>
        </is>
      </c>
      <c r="D17" s="16" t="inlineStr">
        <is>
          <t>La base productive medtech européenne et suisse croît-elle en volume et en emplois ?</t>
        </is>
      </c>
      <c r="E17" s="16" t="inlineStr">
        <is>
          <t>Secteur défensif, peu cyclique : la production suit la demande démographique. Tout décrochage est donc un signal structurel et non une fluctuation conjoncturelle.</t>
        </is>
      </c>
      <c r="F17" s="16" t="inlineStr">
        <is>
          <t>significative</t>
        </is>
      </c>
      <c r="G17" s="16" t="n">
        <v>3</v>
      </c>
      <c r="H17" s="16" t="n">
        <v>2</v>
      </c>
    </row>
    <row r="18">
      <c r="A18" s="15" t="inlineStr">
        <is>
          <t>Médical</t>
        </is>
      </c>
      <c r="B18" s="15" t="inlineStr">
        <is>
          <t>QV2</t>
        </is>
      </c>
      <c r="C18" s="15" t="inlineStr">
        <is>
          <t>Demande et débouchés</t>
        </is>
      </c>
      <c r="D18" s="15" t="inlineStr">
        <is>
          <t>Quels pays accroissent leurs importations d'instruments médicaux, et leurs dépenses de santé le confirment-elles ?</t>
        </is>
      </c>
      <c r="E18" s="15" t="inlineStr">
        <is>
          <t>Demande solvabilisée par les systèmes de santé : le budget public précède la commande hospitalière avec un décalage long. Le croisement des deux séries distingue la croissance financée de la croissance annoncée.</t>
        </is>
      </c>
      <c r="F18" s="15" t="inlineStr">
        <is>
          <t>dominante</t>
        </is>
      </c>
      <c r="G18" s="15" t="n">
        <v>4</v>
      </c>
      <c r="H18" s="15" t="n">
        <v>4</v>
      </c>
    </row>
    <row r="19">
      <c r="A19" s="16" t="inlineStr">
        <is>
          <t>Médical</t>
        </is>
      </c>
      <c r="B19" s="16" t="inlineStr">
        <is>
          <t>QV3</t>
        </is>
      </c>
      <c r="C19" s="16" t="inlineStr">
        <is>
          <t>Dynamique géographique</t>
        </is>
      </c>
      <c r="D19" s="16" t="inlineStr">
        <is>
          <t>Où se localise la production d'instruments médicaux, et la position suisse s'y érode-t-elle ?</t>
        </is>
      </c>
      <c r="E19" s="16" t="inlineStr">
        <is>
          <t>Les barrières réglementaires (MDR européen, homologation FDA) freinent les délocalisations : la géographie bouge lentement, ce qui rend tout mouvement observé significatif.</t>
        </is>
      </c>
      <c r="F19" s="16" t="inlineStr">
        <is>
          <t>significative</t>
        </is>
      </c>
      <c r="G19" s="16" t="n">
        <v>2</v>
      </c>
      <c r="H19" s="16" t="n">
        <v>1</v>
      </c>
    </row>
    <row r="20">
      <c r="A20" s="15" t="inlineStr">
        <is>
          <t>Médical</t>
        </is>
      </c>
      <c r="B20" s="15" t="inlineStr">
        <is>
          <t>QV4</t>
        </is>
      </c>
      <c r="C20" s="15" t="inlineStr">
        <is>
          <t>Dynamique technologique</t>
        </is>
      </c>
      <c r="D20" s="15" t="inlineStr">
        <is>
          <t>Quelles mutations techniques — chirurgie mini-invasive, robotique, implants personnalisés — recomposent la demande de pièces de précision ?</t>
        </is>
      </c>
      <c r="E20" s="15" t="inlineStr">
        <is>
          <t>Chaque génération d'instruments modifie les tolérances, les matériaux et les volumes demandés au sous-traitant. L'antériorité du signal se lit dans les dépôts de brevets, plusieurs années avant la commande.</t>
        </is>
      </c>
      <c r="F20" s="15" t="inlineStr">
        <is>
          <t>dominante</t>
        </is>
      </c>
      <c r="G20" s="15" t="n">
        <v>2</v>
      </c>
      <c r="H20" s="15" t="n">
        <v>2</v>
      </c>
    </row>
    <row r="21">
      <c r="A21" s="16" t="inlineStr">
        <is>
          <t>Médical</t>
        </is>
      </c>
      <c r="B21" s="16" t="inlineStr">
        <is>
          <t>QV5</t>
        </is>
      </c>
      <c r="C21" s="16" t="inlineStr">
        <is>
          <t>Impulsions publiques</t>
        </is>
      </c>
      <c r="D21" s="16" t="inlineStr">
        <is>
          <t>Comment évoluent les dépenses publiques de santé, et quels programmes d'équipement en découlent ?</t>
        </is>
      </c>
      <c r="E21" s="16" t="inlineStr">
        <is>
          <t>Déterminant médiatisé : la dépense publique solvabilise la demande hospitalière sans être elle-même la commande. Décalage de plusieurs années entre arbitrage budgétaire et appel d'offres.</t>
        </is>
      </c>
      <c r="F21" s="16" t="inlineStr">
        <is>
          <t>significative</t>
        </is>
      </c>
      <c r="G21" s="16" t="n">
        <v>2</v>
      </c>
      <c r="H21" s="16" t="n">
        <v>2</v>
      </c>
    </row>
    <row r="22">
      <c r="A22" s="15" t="inlineStr">
        <is>
          <t>Socle transversal</t>
        </is>
      </c>
      <c r="B22" s="15" t="inlineStr">
        <is>
          <t>QV0</t>
        </is>
      </c>
      <c r="C22" s="15" t="inlineStr">
        <is>
          <t>Attribution</t>
        </is>
      </c>
      <c r="D22" s="15" t="inlineStr">
        <is>
          <t>Le mouvement observé sur un secteur est-il propre à ce secteur, ou porté par la conjoncture générale ?</t>
        </is>
      </c>
      <c r="E22" s="15" t="inlineStr">
        <is>
          <t>Sans référentiel commun, un recul sectoriel est ininterprétable : une baisse des exportations ne se lit pas de la même manière selon que le commerce mondial recule ou progresse. Le socle transversal fournit le dénominateur de l'attribution.</t>
        </is>
      </c>
      <c r="F22" s="15" t="inlineStr">
        <is>
          <t>dominante</t>
        </is>
      </c>
      <c r="G22" s="15" t="n">
        <v>13</v>
      </c>
      <c r="H22" s="15" t="n">
        <v>13</v>
      </c>
    </row>
  </sheetData>
  <autoFilter ref="A1:H22"/>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7"/>
  <sheetViews>
    <sheetView workbookViewId="0">
      <pane ySplit="1" topLeftCell="A2" activePane="bottomLeft" state="frozen"/>
      <selection pane="bottomLeft" activeCell="A1" sqref="A1"/>
    </sheetView>
  </sheetViews>
  <sheetFormatPr baseColWidth="8" defaultRowHeight="15"/>
  <cols>
    <col width="11" customWidth="1" min="1" max="1"/>
    <col width="25" customWidth="1" min="2" max="2"/>
    <col width="60" customWidth="1" min="3" max="3"/>
    <col width="13" customWidth="1" min="4" max="4"/>
    <col width="23" customWidth="1" min="5" max="5"/>
  </cols>
  <sheetData>
    <row r="1" ht="32" customHeight="1">
      <c r="A1" s="5" t="inlineStr">
        <is>
          <t>Code</t>
        </is>
      </c>
      <c r="B1" s="5" t="inlineStr">
        <is>
          <t>Intitulé</t>
        </is>
      </c>
      <c r="C1" s="5" t="inlineStr">
        <is>
          <t>Formulation générique</t>
        </is>
      </c>
      <c r="D1" s="5" t="inlineStr">
        <is>
          <t>Portée</t>
        </is>
      </c>
      <c r="E1" s="5" t="inlineStr">
        <is>
          <t>Indicateurs rattachés</t>
        </is>
      </c>
    </row>
    <row r="2">
      <c r="A2" s="6" t="inlineStr">
        <is>
          <t>QV0</t>
        </is>
      </c>
      <c r="B2" s="6" t="inlineStr">
        <is>
          <t>Attribution</t>
        </is>
      </c>
      <c r="C2" s="6" t="inlineStr">
        <is>
          <t>Le mouvement observé sur un secteur est-il propre à ce secteur, ou porté par la conjoncture générale ?</t>
        </is>
      </c>
      <c r="D2" s="6" t="inlineStr">
        <is>
          <t>transversal</t>
        </is>
      </c>
      <c r="E2" s="6" t="n">
        <v>13</v>
      </c>
    </row>
    <row r="3">
      <c r="A3" s="6" t="inlineStr">
        <is>
          <t>QV1</t>
        </is>
      </c>
      <c r="B3" s="6" t="inlineStr">
        <is>
          <t>Santé structurelle</t>
        </is>
      </c>
      <c r="C3" s="6" t="inlineStr">
        <is>
          <t>Comment évolue la substance de la branche : production, emploi, tissu d'entreprises ?</t>
        </is>
      </c>
      <c r="D3" s="6" t="inlineStr">
        <is>
          <t>sectoriel</t>
        </is>
      </c>
      <c r="E3" s="6" t="n">
        <v>13</v>
      </c>
    </row>
    <row r="4">
      <c r="A4" s="6" t="inlineStr">
        <is>
          <t>QV2</t>
        </is>
      </c>
      <c r="B4" s="6" t="inlineStr">
        <is>
          <t>Demande et débouchés</t>
        </is>
      </c>
      <c r="C4" s="6" t="inlineStr">
        <is>
          <t>Où la demande mondiale croît-elle ou se contracte-t-elle ? Quels flux commerciaux se déplacent ?</t>
        </is>
      </c>
      <c r="D4" s="6" t="inlineStr">
        <is>
          <t>sectoriel</t>
        </is>
      </c>
      <c r="E4" s="6" t="n">
        <v>16</v>
      </c>
    </row>
    <row r="5">
      <c r="A5" s="6" t="inlineStr">
        <is>
          <t>QV3</t>
        </is>
      </c>
      <c r="B5" s="6" t="inlineStr">
        <is>
          <t>Dynamique géographique</t>
        </is>
      </c>
      <c r="C5" s="6" t="inlineStr">
        <is>
          <t>Où le centre de gravité du secteur se déplace-t-il : quels pays produisent, importent ou accèdent à une capacité nouvelle ?</t>
        </is>
      </c>
      <c r="D5" s="6" t="inlineStr">
        <is>
          <t>sectoriel</t>
        </is>
      </c>
      <c r="E5" s="6" t="n">
        <v>6</v>
      </c>
    </row>
    <row r="6">
      <c r="A6" s="6" t="inlineStr">
        <is>
          <t>QV4</t>
        </is>
      </c>
      <c r="B6" s="6" t="inlineStr">
        <is>
          <t>Dynamique technologique</t>
        </is>
      </c>
      <c r="C6" s="6" t="inlineStr">
        <is>
          <t>Quelle mutation technique recompose la demande de composants : quels procédés, matériaux ou architectures se substituent aux précédents ?</t>
        </is>
      </c>
      <c r="D6" s="6" t="inlineStr">
        <is>
          <t>sectoriel</t>
        </is>
      </c>
      <c r="E6" s="6" t="n">
        <v>5</v>
      </c>
    </row>
    <row r="7">
      <c r="A7" s="6" t="inlineStr">
        <is>
          <t>QV5</t>
        </is>
      </c>
      <c r="B7" s="6" t="inlineStr">
        <is>
          <t>Impulsions publiques</t>
        </is>
      </c>
      <c r="C7" s="6" t="inlineStr">
        <is>
          <t>Quelle action publique — dépense, réglementation, condition d'accès — modifie le niveau ou la composition de la demande à moyen terme ?</t>
        </is>
      </c>
      <c r="D7" s="6" t="inlineStr">
        <is>
          <t>sectoriel</t>
        </is>
      </c>
      <c r="E7" s="6" t="n">
        <v>6</v>
      </c>
    </row>
  </sheetData>
  <autoFilter ref="A1:E7"/>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2"/>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3" customWidth="1" min="3" max="3"/>
    <col width="16" customWidth="1" min="4" max="4"/>
    <col width="22" customWidth="1" min="5" max="5"/>
  </cols>
  <sheetData>
    <row r="1" ht="32" customHeight="1">
      <c r="A1" s="5" t="inlineStr">
        <is>
          <t>Secteur</t>
        </is>
      </c>
      <c r="B1" s="5" t="inlineStr">
        <is>
          <t>Question</t>
        </is>
      </c>
      <c r="C1" s="5" t="inlineStr">
        <is>
          <t>Indicateurs</t>
        </is>
      </c>
      <c r="D1" s="5" t="inlineStr">
        <is>
          <t>dont certifiés</t>
        </is>
      </c>
      <c r="E1" s="5" t="inlineStr">
        <is>
          <t>Couverture</t>
        </is>
      </c>
    </row>
    <row r="2">
      <c r="A2" s="11" t="inlineStr">
        <is>
          <t>aerospatial</t>
        </is>
      </c>
      <c r="B2" s="11" t="inlineStr">
        <is>
          <t>QV1</t>
        </is>
      </c>
      <c r="C2" s="11" t="n">
        <v>2</v>
      </c>
      <c r="D2" s="11" t="n">
        <v>2</v>
      </c>
      <c r="E2" s="11" t="inlineStr">
        <is>
          <t>couverte</t>
        </is>
      </c>
    </row>
    <row r="3">
      <c r="A3" s="11" t="inlineStr">
        <is>
          <t>aerospatial</t>
        </is>
      </c>
      <c r="B3" s="11" t="inlineStr">
        <is>
          <t>QV2</t>
        </is>
      </c>
      <c r="C3" s="11" t="n">
        <v>4</v>
      </c>
      <c r="D3" s="11" t="n">
        <v>3</v>
      </c>
      <c r="E3" s="11" t="inlineStr">
        <is>
          <t>couverte</t>
        </is>
      </c>
    </row>
    <row r="4">
      <c r="A4" s="11" t="inlineStr">
        <is>
          <t>aerospatial</t>
        </is>
      </c>
      <c r="B4" s="11" t="inlineStr">
        <is>
          <t>QV3</t>
        </is>
      </c>
      <c r="C4" s="11" t="n">
        <v>1</v>
      </c>
      <c r="D4" s="11" t="n">
        <v>1</v>
      </c>
      <c r="E4" s="11" t="inlineStr">
        <is>
          <t>couverte</t>
        </is>
      </c>
    </row>
    <row r="5">
      <c r="A5" s="18" t="inlineStr">
        <is>
          <t>aerospatial</t>
        </is>
      </c>
      <c r="B5" s="18" t="inlineStr">
        <is>
          <t>QV4</t>
        </is>
      </c>
      <c r="C5" s="18" t="n">
        <v>0</v>
      </c>
      <c r="D5" s="18" t="n">
        <v>0</v>
      </c>
      <c r="E5" s="18" t="inlineStr">
        <is>
          <t>non couverte</t>
        </is>
      </c>
    </row>
    <row r="6">
      <c r="A6" s="11" t="inlineStr">
        <is>
          <t>aerospatial</t>
        </is>
      </c>
      <c r="B6" s="11" t="inlineStr">
        <is>
          <t>QV5</t>
        </is>
      </c>
      <c r="C6" s="11" t="n">
        <v>3</v>
      </c>
      <c r="D6" s="11" t="n">
        <v>2</v>
      </c>
      <c r="E6" s="11" t="inlineStr">
        <is>
          <t>couverte</t>
        </is>
      </c>
    </row>
    <row r="7">
      <c r="A7" s="11" t="inlineStr">
        <is>
          <t>automobile</t>
        </is>
      </c>
      <c r="B7" s="11" t="inlineStr">
        <is>
          <t>QV1</t>
        </is>
      </c>
      <c r="C7" s="11" t="n">
        <v>3</v>
      </c>
      <c r="D7" s="11" t="n">
        <v>3</v>
      </c>
      <c r="E7" s="11" t="inlineStr">
        <is>
          <t>couverte</t>
        </is>
      </c>
    </row>
    <row r="8">
      <c r="A8" s="11" t="inlineStr">
        <is>
          <t>automobile</t>
        </is>
      </c>
      <c r="B8" s="11" t="inlineStr">
        <is>
          <t>QV2</t>
        </is>
      </c>
      <c r="C8" s="11" t="n">
        <v>4</v>
      </c>
      <c r="D8" s="11" t="n">
        <v>4</v>
      </c>
      <c r="E8" s="11" t="inlineStr">
        <is>
          <t>couverte</t>
        </is>
      </c>
    </row>
    <row r="9">
      <c r="A9" s="11" t="inlineStr">
        <is>
          <t>automobile</t>
        </is>
      </c>
      <c r="B9" s="11" t="inlineStr">
        <is>
          <t>QV3</t>
        </is>
      </c>
      <c r="C9" s="11" t="n">
        <v>2</v>
      </c>
      <c r="D9" s="11" t="n">
        <v>2</v>
      </c>
      <c r="E9" s="11" t="inlineStr">
        <is>
          <t>couverte</t>
        </is>
      </c>
    </row>
    <row r="10">
      <c r="A10" s="11" t="inlineStr">
        <is>
          <t>automobile</t>
        </is>
      </c>
      <c r="B10" s="11" t="inlineStr">
        <is>
          <t>QV4</t>
        </is>
      </c>
      <c r="C10" s="11" t="n">
        <v>2</v>
      </c>
      <c r="D10" s="11" t="n">
        <v>2</v>
      </c>
      <c r="E10" s="11" t="inlineStr">
        <is>
          <t>couverte</t>
        </is>
      </c>
    </row>
    <row r="11">
      <c r="A11" s="18" t="inlineStr">
        <is>
          <t>automobile</t>
        </is>
      </c>
      <c r="B11" s="18" t="inlineStr">
        <is>
          <t>QV5</t>
        </is>
      </c>
      <c r="C11" s="18" t="n">
        <v>0</v>
      </c>
      <c r="D11" s="18" t="n">
        <v>0</v>
      </c>
      <c r="E11" s="18" t="inlineStr">
        <is>
          <t>non couverte</t>
        </is>
      </c>
    </row>
    <row r="12">
      <c r="A12" s="11" t="inlineStr">
        <is>
          <t>horlogerie</t>
        </is>
      </c>
      <c r="B12" s="11" t="inlineStr">
        <is>
          <t>QV1</t>
        </is>
      </c>
      <c r="C12" s="11" t="n">
        <v>5</v>
      </c>
      <c r="D12" s="11" t="n">
        <v>4</v>
      </c>
      <c r="E12" s="11" t="inlineStr">
        <is>
          <t>couverte</t>
        </is>
      </c>
    </row>
    <row r="13">
      <c r="A13" s="11" t="inlineStr">
        <is>
          <t>horlogerie</t>
        </is>
      </c>
      <c r="B13" s="11" t="inlineStr">
        <is>
          <t>QV2</t>
        </is>
      </c>
      <c r="C13" s="11" t="n">
        <v>4</v>
      </c>
      <c r="D13" s="11" t="n">
        <v>4</v>
      </c>
      <c r="E13" s="11" t="inlineStr">
        <is>
          <t>couverte</t>
        </is>
      </c>
    </row>
    <row r="14">
      <c r="A14" s="11" t="inlineStr">
        <is>
          <t>horlogerie</t>
        </is>
      </c>
      <c r="B14" s="11" t="inlineStr">
        <is>
          <t>QV3</t>
        </is>
      </c>
      <c r="C14" s="11" t="n">
        <v>1</v>
      </c>
      <c r="D14" s="11" t="n">
        <v>1</v>
      </c>
      <c r="E14" s="11" t="inlineStr">
        <is>
          <t>couverte</t>
        </is>
      </c>
    </row>
    <row r="15">
      <c r="A15" s="11" t="inlineStr">
        <is>
          <t>horlogerie</t>
        </is>
      </c>
      <c r="B15" s="11" t="inlineStr">
        <is>
          <t>QV4</t>
        </is>
      </c>
      <c r="C15" s="11" t="n">
        <v>1</v>
      </c>
      <c r="D15" s="11" t="n">
        <v>1</v>
      </c>
      <c r="E15" s="11" t="inlineStr">
        <is>
          <t>couverte</t>
        </is>
      </c>
    </row>
    <row r="16">
      <c r="A16" s="13" t="inlineStr">
        <is>
          <t>horlogerie</t>
        </is>
      </c>
      <c r="B16" s="13" t="inlineStr">
        <is>
          <t>QV5</t>
        </is>
      </c>
      <c r="C16" s="13" t="n">
        <v>1</v>
      </c>
      <c r="D16" s="13" t="n">
        <v>0</v>
      </c>
      <c r="E16" s="13" t="inlineStr">
        <is>
          <t>couverte a confirmer</t>
        </is>
      </c>
    </row>
    <row r="17">
      <c r="A17" s="11" t="inlineStr">
        <is>
          <t>medical</t>
        </is>
      </c>
      <c r="B17" s="11" t="inlineStr">
        <is>
          <t>QV1</t>
        </is>
      </c>
      <c r="C17" s="11" t="n">
        <v>3</v>
      </c>
      <c r="D17" s="11" t="n">
        <v>2</v>
      </c>
      <c r="E17" s="11" t="inlineStr">
        <is>
          <t>couverte</t>
        </is>
      </c>
    </row>
    <row r="18">
      <c r="A18" s="11" t="inlineStr">
        <is>
          <t>medical</t>
        </is>
      </c>
      <c r="B18" s="11" t="inlineStr">
        <is>
          <t>QV2</t>
        </is>
      </c>
      <c r="C18" s="11" t="n">
        <v>4</v>
      </c>
      <c r="D18" s="11" t="n">
        <v>4</v>
      </c>
      <c r="E18" s="11" t="inlineStr">
        <is>
          <t>couverte</t>
        </is>
      </c>
    </row>
    <row r="19">
      <c r="A19" s="11" t="inlineStr">
        <is>
          <t>medical</t>
        </is>
      </c>
      <c r="B19" s="11" t="inlineStr">
        <is>
          <t>QV3</t>
        </is>
      </c>
      <c r="C19" s="11" t="n">
        <v>2</v>
      </c>
      <c r="D19" s="11" t="n">
        <v>1</v>
      </c>
      <c r="E19" s="11" t="inlineStr">
        <is>
          <t>couverte</t>
        </is>
      </c>
    </row>
    <row r="20">
      <c r="A20" s="11" t="inlineStr">
        <is>
          <t>medical</t>
        </is>
      </c>
      <c r="B20" s="11" t="inlineStr">
        <is>
          <t>QV4</t>
        </is>
      </c>
      <c r="C20" s="11" t="n">
        <v>2</v>
      </c>
      <c r="D20" s="11" t="n">
        <v>2</v>
      </c>
      <c r="E20" s="11" t="inlineStr">
        <is>
          <t>couverte</t>
        </is>
      </c>
    </row>
    <row r="21">
      <c r="A21" s="11" t="inlineStr">
        <is>
          <t>medical</t>
        </is>
      </c>
      <c r="B21" s="11" t="inlineStr">
        <is>
          <t>QV5</t>
        </is>
      </c>
      <c r="C21" s="11" t="n">
        <v>2</v>
      </c>
      <c r="D21" s="11" t="n">
        <v>2</v>
      </c>
      <c r="E21" s="11" t="inlineStr">
        <is>
          <t>couverte</t>
        </is>
      </c>
    </row>
    <row r="22">
      <c r="A22" s="11" t="inlineStr">
        <is>
          <t>transversal</t>
        </is>
      </c>
      <c r="B22" s="11" t="inlineStr">
        <is>
          <t>QV0</t>
        </is>
      </c>
      <c r="C22" s="11" t="n">
        <v>13</v>
      </c>
      <c r="D22" s="11" t="n">
        <v>13</v>
      </c>
      <c r="E22" s="11" t="inlineStr">
        <is>
          <t>couverte</t>
        </is>
      </c>
    </row>
  </sheetData>
  <autoFilter ref="A1:E22"/>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H4"/>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25" customWidth="1" min="3" max="3"/>
    <col width="60" customWidth="1" min="4" max="4"/>
    <col width="11" customWidth="1" min="5" max="5"/>
    <col width="23" customWidth="1" min="6" max="6"/>
    <col width="16" customWidth="1" min="7" max="7"/>
    <col width="38" customWidth="1" min="8" max="8"/>
  </cols>
  <sheetData>
    <row r="1" ht="32" customHeight="1">
      <c r="A1" s="5" t="inlineStr">
        <is>
          <t>Secteur</t>
        </is>
      </c>
      <c r="B1" s="5" t="inlineStr">
        <is>
          <t>Question</t>
        </is>
      </c>
      <c r="C1" s="5" t="inlineStr">
        <is>
          <t>Angle</t>
        </is>
      </c>
      <c r="D1" s="5" t="inlineStr">
        <is>
          <t>Question non couverte</t>
        </is>
      </c>
      <c r="E1" s="5" t="inlineStr">
        <is>
          <t>Criticité</t>
        </is>
      </c>
      <c r="F1" s="5" t="inlineStr">
        <is>
          <t>Indicateurs rattachés</t>
        </is>
      </c>
      <c r="G1" s="5" t="inlineStr">
        <is>
          <t>dont certifiés</t>
        </is>
      </c>
      <c r="H1" s="5" t="inlineStr">
        <is>
          <t>Nature</t>
        </is>
      </c>
    </row>
    <row r="2">
      <c r="A2" s="18" t="inlineStr">
        <is>
          <t>Aérospatial</t>
        </is>
      </c>
      <c r="B2" s="18" t="inlineStr">
        <is>
          <t>QV4</t>
        </is>
      </c>
      <c r="C2" s="18" t="inlineStr">
        <is>
          <t>Dynamique technologique</t>
        </is>
      </c>
      <c r="D2" s="18" t="inlineStr">
        <is>
          <t>Quelles ruptures techniques — lanceurs réutilisables, constellations, propulsion alternative — modifient les volumes et les tolérances demandés ?</t>
        </is>
      </c>
      <c r="E2" s="18" t="inlineStr">
        <is>
          <t>dominante</t>
        </is>
      </c>
      <c r="F2" s="18" t="n">
        <v>0</v>
      </c>
      <c r="G2" s="18" t="n">
        <v>0</v>
      </c>
      <c r="H2" s="18" t="inlineStr">
        <is>
          <t>lacune — aucun indicateur</t>
        </is>
      </c>
    </row>
    <row r="3">
      <c r="A3" s="18" t="inlineStr">
        <is>
          <t>Automobile</t>
        </is>
      </c>
      <c r="B3" s="18" t="inlineStr">
        <is>
          <t>QV5</t>
        </is>
      </c>
      <c r="C3" s="18" t="inlineStr">
        <is>
          <t>Impulsions publiques</t>
        </is>
      </c>
      <c r="D3" s="18" t="inlineStr">
        <is>
          <t>Quelles décisions réglementaires — normes d'émission, calendrier d'interdiction du thermique, dispositifs d'incitation — modifient la composition de la demande ?</t>
        </is>
      </c>
      <c r="E3" s="18" t="inlineStr">
        <is>
          <t>dominante</t>
        </is>
      </c>
      <c r="F3" s="18" t="n">
        <v>0</v>
      </c>
      <c r="G3" s="18" t="n">
        <v>0</v>
      </c>
      <c r="H3" s="18" t="inlineStr">
        <is>
          <t>lacune — aucun indicateur</t>
        </is>
      </c>
    </row>
    <row r="4">
      <c r="A4" s="13" t="inlineStr">
        <is>
          <t>Horlogerie</t>
        </is>
      </c>
      <c r="B4" s="13" t="inlineStr">
        <is>
          <t>QV5</t>
        </is>
      </c>
      <c r="C4" s="13" t="inlineStr">
        <is>
          <t>Impulsions publiques</t>
        </is>
      </c>
      <c r="D4" s="13" t="inlineStr">
        <is>
          <t>Quelles décisions publiques — droits de douane, accords commerciaux, réglementation Swiss made — modifient les conditions d'accès aux marchés ?</t>
        </is>
      </c>
      <c r="E4" s="13" t="inlineStr">
        <is>
          <t>marginale</t>
        </is>
      </c>
      <c r="F4" s="13" t="n">
        <v>1</v>
      </c>
      <c r="G4" s="13" t="n">
        <v>0</v>
      </c>
      <c r="H4" s="13" t="inlineStr">
        <is>
          <t>couverture nominale — aucun indicateur certifié</t>
        </is>
      </c>
    </row>
  </sheetData>
  <autoFilter ref="A1:H4"/>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L28"/>
  <sheetViews>
    <sheetView workbookViewId="0">
      <pane ySplit="1" topLeftCell="A2" activePane="bottomLeft" state="frozen"/>
      <selection pane="bottomLeft" activeCell="A1" sqref="A1"/>
    </sheetView>
  </sheetViews>
  <sheetFormatPr baseColWidth="8" defaultRowHeight="15"/>
  <cols>
    <col width="17" customWidth="1" min="1" max="1"/>
    <col width="38" customWidth="1" min="2" max="2"/>
    <col width="38" customWidth="1" min="3" max="3"/>
    <col width="14" customWidth="1" min="4" max="4"/>
    <col width="19" customWidth="1" min="5" max="5"/>
    <col width="13" customWidth="1" min="6" max="6"/>
    <col width="25" customWidth="1" min="7" max="7"/>
    <col width="15" customWidth="1" min="8" max="8"/>
    <col width="12" customWidth="1" min="9" max="9"/>
    <col width="38" customWidth="1" min="10" max="10"/>
    <col width="40" customWidth="1" min="11" max="11"/>
    <col width="45" customWidth="1" min="12" max="12"/>
  </cols>
  <sheetData>
    <row r="1" ht="32" customHeight="1">
      <c r="A1" s="5" t="inlineStr">
        <is>
          <t>Identifiant</t>
        </is>
      </c>
      <c r="B1" s="5" t="inlineStr">
        <is>
          <t>Source</t>
        </is>
      </c>
      <c r="C1" s="5" t="inlineStr">
        <is>
          <t>Organisme</t>
        </is>
      </c>
      <c r="D1" s="5" t="inlineStr">
        <is>
          <t>Fréquence</t>
        </is>
      </c>
      <c r="E1" s="5" t="inlineStr">
        <is>
          <t>Format</t>
        </is>
      </c>
      <c r="F1" s="5" t="inlineStr">
        <is>
          <t>Accès</t>
        </is>
      </c>
      <c r="G1" s="5" t="inlineStr">
        <is>
          <t>Statut de qualification</t>
        </is>
      </c>
      <c r="H1" s="5" t="inlineStr">
        <is>
          <t>Qualifiée par</t>
        </is>
      </c>
      <c r="I1" s="5" t="inlineStr">
        <is>
          <t>Le</t>
        </is>
      </c>
      <c r="J1" s="5" t="inlineStr">
        <is>
          <t>Indicateurs alimentés</t>
        </is>
      </c>
      <c r="K1" s="5" t="inlineStr">
        <is>
          <t>URL</t>
        </is>
      </c>
      <c r="L1" s="5" t="inlineStr">
        <is>
          <t>Remarque</t>
        </is>
      </c>
    </row>
    <row r="2">
      <c r="A2" s="11" t="inlineStr">
        <is>
          <t>acea</t>
        </is>
      </c>
      <c r="B2" s="11" t="inlineStr">
        <is>
          <t>Immatriculations de véhicules neufs</t>
        </is>
      </c>
      <c r="C2" s="11" t="inlineStr">
        <is>
          <t>ACEA</t>
        </is>
      </c>
      <c r="D2" s="11" t="inlineStr">
        <is>
          <t>mensuelle</t>
        </is>
      </c>
      <c r="E2" s="11" t="inlineStr">
        <is>
          <t>PDF / communiqués</t>
        </is>
      </c>
      <c r="F2" s="11" t="inlineStr">
        <is>
          <t>libre</t>
        </is>
      </c>
      <c r="G2" s="11" t="inlineStr">
        <is>
          <t>certifiee</t>
        </is>
      </c>
      <c r="H2" s="11" t="inlineStr">
        <is>
          <t>N. Castillo</t>
        </is>
      </c>
      <c r="I2" s="11" t="inlineStr">
        <is>
          <t>07.08.2026</t>
        </is>
      </c>
      <c r="J2" s="11" t="inlineStr">
        <is>
          <t>A2</t>
        </is>
      </c>
      <c r="K2" s="11" t="inlineStr">
        <is>
          <t>https://www.acea.auto</t>
        </is>
      </c>
      <c r="L2" s="11" t="inlineStr">
        <is>
          <t>Communiqués mensuels ; extraction nécessaire</t>
        </is>
      </c>
    </row>
    <row r="3">
      <c r="A3" s="11" t="inlineStr">
        <is>
          <t>aie</t>
        </is>
      </c>
      <c r="B3" s="11" t="inlineStr">
        <is>
          <t>Global EV Data Explorer</t>
        </is>
      </c>
      <c r="C3" s="11" t="inlineStr">
        <is>
          <t>Agence internationale de l'énergie</t>
        </is>
      </c>
      <c r="D3" s="11" t="inlineStr">
        <is>
          <t>annuelle</t>
        </is>
      </c>
      <c r="E3" s="11" t="inlineStr">
        <is>
          <t>CSV</t>
        </is>
      </c>
      <c r="F3" s="11" t="inlineStr">
        <is>
          <t>libre</t>
        </is>
      </c>
      <c r="G3" s="11" t="inlineStr">
        <is>
          <t>certifiee</t>
        </is>
      </c>
      <c r="H3" s="11" t="inlineStr">
        <is>
          <t>N. Castillo</t>
        </is>
      </c>
      <c r="I3" s="11" t="inlineStr">
        <is>
          <t>07.08.2026</t>
        </is>
      </c>
      <c r="J3" s="11" t="inlineStr">
        <is>
          <t>A3</t>
        </is>
      </c>
      <c r="K3" s="11" t="inlineStr">
        <is>
          <t>https://www.iea.org</t>
        </is>
      </c>
      <c r="L3" s="11" t="n"/>
    </row>
    <row r="4">
      <c r="A4" s="11" t="inlineStr">
        <is>
          <t>banque_mondiale</t>
        </is>
      </c>
      <c r="B4" s="11" t="inlineStr">
        <is>
          <t>Séries macroéconomiques mondiales</t>
        </is>
      </c>
      <c r="C4" s="11" t="inlineStr">
        <is>
          <t>Banque mondiale</t>
        </is>
      </c>
      <c r="D4" s="11" t="inlineStr">
        <is>
          <t>annuelle</t>
        </is>
      </c>
      <c r="E4" s="11" t="inlineStr">
        <is>
          <t>API + CSV</t>
        </is>
      </c>
      <c r="F4" s="11" t="inlineStr">
        <is>
          <t>libre</t>
        </is>
      </c>
      <c r="G4" s="11" t="inlineStr">
        <is>
          <t>certifiee</t>
        </is>
      </c>
      <c r="H4" s="11" t="inlineStr">
        <is>
          <t>N. Castillo</t>
        </is>
      </c>
      <c r="I4" s="11" t="inlineStr">
        <is>
          <t>07.08.2026</t>
        </is>
      </c>
      <c r="J4" s="11" t="n"/>
      <c r="K4" s="11" t="inlineStr">
        <is>
          <t>https://data.worldbank.org</t>
        </is>
      </c>
      <c r="L4" s="11" t="n"/>
    </row>
    <row r="5">
      <c r="A5" s="11" t="inlineStr">
        <is>
          <t>bns</t>
        </is>
      </c>
      <c r="B5" s="11" t="inlineStr">
        <is>
          <t>Taux de change de référence</t>
        </is>
      </c>
      <c r="C5" s="11" t="inlineStr">
        <is>
          <t>Banque nationale suisse</t>
        </is>
      </c>
      <c r="D5" s="11" t="inlineStr">
        <is>
          <t>mensuelle</t>
        </is>
      </c>
      <c r="E5" s="11" t="inlineStr">
        <is>
          <t>API / CSV</t>
        </is>
      </c>
      <c r="F5" s="11" t="inlineStr">
        <is>
          <t>libre</t>
        </is>
      </c>
      <c r="G5" s="11" t="inlineStr">
        <is>
          <t>certifiee</t>
        </is>
      </c>
      <c r="H5" s="11" t="inlineStr">
        <is>
          <t>N. Castillo</t>
        </is>
      </c>
      <c r="I5" s="11" t="inlineStr">
        <is>
          <t>07.08.2026</t>
        </is>
      </c>
      <c r="J5" s="11" t="inlineStr">
        <is>
          <t>T2</t>
        </is>
      </c>
      <c r="K5" s="11" t="inlineStr">
        <is>
          <t>https://data.snb.ch</t>
        </is>
      </c>
      <c r="L5" s="11" t="n"/>
    </row>
    <row r="6">
      <c r="A6" s="11" t="inlineStr">
        <is>
          <t>comtrade</t>
        </is>
      </c>
      <c r="B6" s="11" t="inlineStr">
        <is>
          <t>UN Comtrade — commerce international par code SH</t>
        </is>
      </c>
      <c r="C6" s="11" t="inlineStr">
        <is>
          <t>Nations Unies</t>
        </is>
      </c>
      <c r="D6" s="11" t="inlineStr">
        <is>
          <t>annuelle</t>
        </is>
      </c>
      <c r="E6" s="11" t="inlineStr">
        <is>
          <t>API + CSV</t>
        </is>
      </c>
      <c r="F6" s="11" t="inlineStr">
        <is>
          <t>libre_quota</t>
        </is>
      </c>
      <c r="G6" s="11" t="inlineStr">
        <is>
          <t>certifiee</t>
        </is>
      </c>
      <c r="H6" s="11" t="inlineStr">
        <is>
          <t>N. Castillo</t>
        </is>
      </c>
      <c r="I6" s="11" t="inlineStr">
        <is>
          <t>07.08.2026</t>
        </is>
      </c>
      <c r="J6" s="11" t="inlineStr">
        <is>
          <t>A4, H1, H3, M1, S6</t>
        </is>
      </c>
      <c r="K6" s="11" t="inlineStr">
        <is>
          <t>https://comtradeplus.un.org</t>
        </is>
      </c>
      <c r="L6" s="11" t="inlineStr">
        <is>
          <t>Quota sur l'API publique</t>
        </is>
      </c>
    </row>
    <row r="7">
      <c r="A7" s="11" t="inlineStr">
        <is>
          <t>constructeurs</t>
        </is>
      </c>
      <c r="B7" s="11" t="inlineStr">
        <is>
          <t>Commandes et livraisons d'avions commerciaux</t>
        </is>
      </c>
      <c r="C7" s="11" t="inlineStr">
        <is>
          <t>Airbus, Boeing</t>
        </is>
      </c>
      <c r="D7" s="11" t="inlineStr">
        <is>
          <t>mensuelle</t>
        </is>
      </c>
      <c r="E7" s="11" t="inlineStr">
        <is>
          <t>Web / Excel</t>
        </is>
      </c>
      <c r="F7" s="11" t="inlineStr">
        <is>
          <t>libre</t>
        </is>
      </c>
      <c r="G7" s="11" t="inlineStr">
        <is>
          <t>certifiee</t>
        </is>
      </c>
      <c r="H7" s="11" t="inlineStr">
        <is>
          <t>N. Castillo</t>
        </is>
      </c>
      <c r="I7" s="11" t="inlineStr">
        <is>
          <t>07.08.2026</t>
        </is>
      </c>
      <c r="J7" s="11" t="inlineStr">
        <is>
          <t>S1</t>
        </is>
      </c>
      <c r="K7" s="11" t="inlineStr">
        <is>
          <t>https://www.airbus.com</t>
        </is>
      </c>
      <c r="L7" s="11" t="inlineStr">
        <is>
          <t>Deux producteurs à consolider</t>
        </is>
      </c>
    </row>
    <row r="8">
      <c r="A8" s="11" t="inlineStr">
        <is>
          <t>cpb</t>
        </is>
      </c>
      <c r="B8" s="11" t="inlineStr">
        <is>
          <t>World Trade Monitor</t>
        </is>
      </c>
      <c r="C8" s="11" t="inlineStr">
        <is>
          <t>CPB Netherlands Bureau for Economic Policy Analysis</t>
        </is>
      </c>
      <c r="D8" s="11" t="inlineStr">
        <is>
          <t>mensuelle</t>
        </is>
      </c>
      <c r="E8" s="11" t="inlineStr">
        <is>
          <t>Excel</t>
        </is>
      </c>
      <c r="F8" s="11" t="inlineStr">
        <is>
          <t>libre</t>
        </is>
      </c>
      <c r="G8" s="11" t="inlineStr">
        <is>
          <t>certifiee</t>
        </is>
      </c>
      <c r="H8" s="11" t="inlineStr">
        <is>
          <t>N. Castillo</t>
        </is>
      </c>
      <c r="I8" s="11" t="inlineStr">
        <is>
          <t>07.08.2026</t>
        </is>
      </c>
      <c r="J8" s="11" t="inlineStr">
        <is>
          <t>T3</t>
        </is>
      </c>
      <c r="K8" s="11" t="inlineStr">
        <is>
          <t>https://www.cpb.nl/en/worldtrademonitor/latest</t>
        </is>
      </c>
      <c r="L8" s="11" t="inlineStr">
        <is>
          <t>URL corrigée le 24.08.2026 : l'ancienne (…/en/worldtrademonitor) renvoyait 404. La nouvelle redirige vers le millésime courant.</t>
        </is>
      </c>
    </row>
    <row r="9">
      <c r="A9" s="13" t="inlineStr">
        <is>
          <t>deloitte</t>
        </is>
      </c>
      <c r="B9" s="13" t="inlineStr">
        <is>
          <t>Swiss Watch Industry Study</t>
        </is>
      </c>
      <c r="C9" s="13" t="inlineStr">
        <is>
          <t>Deloitte</t>
        </is>
      </c>
      <c r="D9" s="13" t="inlineStr">
        <is>
          <t>annuelle</t>
        </is>
      </c>
      <c r="E9" s="13" t="inlineStr">
        <is>
          <t>PDF</t>
        </is>
      </c>
      <c r="F9" s="13" t="inlineStr">
        <is>
          <t>libre</t>
        </is>
      </c>
      <c r="G9" s="13" t="inlineStr">
        <is>
          <t>a_confirmer</t>
        </is>
      </c>
      <c r="H9" s="13" t="inlineStr">
        <is>
          <t>N. Castillo</t>
        </is>
      </c>
      <c r="I9" s="13" t="inlineStr">
        <is>
          <t>07.08.2026</t>
        </is>
      </c>
      <c r="J9" s="13" t="inlineStr">
        <is>
          <t>H5</t>
        </is>
      </c>
      <c r="K9" s="13" t="inlineStr">
        <is>
          <t>https://www.deloitte.com/ch</t>
        </is>
      </c>
      <c r="L9" s="13" t="inlineStr">
        <is>
          <t>Étude annuelle, méthodologie déclarative</t>
        </is>
      </c>
    </row>
    <row r="10">
      <c r="A10" s="13" t="inlineStr">
        <is>
          <t>esa</t>
        </is>
      </c>
      <c r="B10" s="13" t="inlineStr">
        <is>
          <t>Budgets spatiaux publics</t>
        </is>
      </c>
      <c r="C10" s="13" t="inlineStr">
        <is>
          <t>ESA et agences nationales</t>
        </is>
      </c>
      <c r="D10" s="13" t="inlineStr">
        <is>
          <t>annuelle</t>
        </is>
      </c>
      <c r="E10" s="13" t="inlineStr">
        <is>
          <t>PDF</t>
        </is>
      </c>
      <c r="F10" s="13" t="inlineStr">
        <is>
          <t>libre</t>
        </is>
      </c>
      <c r="G10" s="13" t="inlineStr">
        <is>
          <t>a_confirmer</t>
        </is>
      </c>
      <c r="H10" s="13" t="inlineStr">
        <is>
          <t>N. Castillo</t>
        </is>
      </c>
      <c r="I10" s="13" t="inlineStr">
        <is>
          <t>07.08.2026</t>
        </is>
      </c>
      <c r="J10" s="13" t="inlineStr">
        <is>
          <t>S5</t>
        </is>
      </c>
      <c r="K10" s="13" t="inlineStr">
        <is>
          <t>https://www.esa.int</t>
        </is>
      </c>
      <c r="L10" s="13" t="inlineStr">
        <is>
          <t>Formats hétérogènes selon les agences</t>
        </is>
      </c>
    </row>
    <row r="11">
      <c r="A11" s="11" t="inlineStr">
        <is>
          <t>eurostat</t>
        </is>
      </c>
      <c r="B11" s="11" t="inlineStr">
        <is>
          <t>Eurostat — statistiques conjoncturelles et structurelles</t>
        </is>
      </c>
      <c r="C11" s="11" t="inlineStr">
        <is>
          <t>Commission européenne</t>
        </is>
      </c>
      <c r="D11" s="11" t="inlineStr">
        <is>
          <t>mensuelle</t>
        </is>
      </c>
      <c r="E11" s="11" t="inlineStr">
        <is>
          <t>API + CSV</t>
        </is>
      </c>
      <c r="F11" s="11" t="inlineStr">
        <is>
          <t>libre</t>
        </is>
      </c>
      <c r="G11" s="11" t="inlineStr">
        <is>
          <t>certifiee</t>
        </is>
      </c>
      <c r="H11" s="11" t="inlineStr">
        <is>
          <t>N. Castillo</t>
        </is>
      </c>
      <c r="I11" s="11" t="inlineStr">
        <is>
          <t>07.08.2026</t>
        </is>
      </c>
      <c r="J11" s="11" t="inlineStr">
        <is>
          <t>A5, A6, H6, M2, S8, T10, T11, T5, T7, T8, T9</t>
        </is>
      </c>
      <c r="K11" s="11" t="inlineStr">
        <is>
          <t>https://ec.europa.eu/eurostat/data/database</t>
        </is>
      </c>
      <c r="L11" s="11" t="inlineStr">
        <is>
          <t>API de dissémination sans authentification</t>
        </is>
      </c>
    </row>
    <row r="12">
      <c r="A12" s="11" t="inlineStr">
        <is>
          <t>fh</t>
        </is>
      </c>
      <c r="B12" s="11" t="inlineStr">
        <is>
          <t>Statistiques d'exportation horlogère</t>
        </is>
      </c>
      <c r="C12" s="11" t="inlineStr">
        <is>
          <t>Fédération de l'industrie horlogère suisse</t>
        </is>
      </c>
      <c r="D12" s="11" t="inlineStr">
        <is>
          <t>mensuelle</t>
        </is>
      </c>
      <c r="E12" s="11" t="inlineStr">
        <is>
          <t>PDF / communiqués</t>
        </is>
      </c>
      <c r="F12" s="11" t="inlineStr">
        <is>
          <t>libre</t>
        </is>
      </c>
      <c r="G12" s="11" t="inlineStr">
        <is>
          <t>certifiee</t>
        </is>
      </c>
      <c r="H12" s="11" t="inlineStr">
        <is>
          <t>N. Castillo</t>
        </is>
      </c>
      <c r="I12" s="11" t="inlineStr">
        <is>
          <t>09.08.2026</t>
        </is>
      </c>
      <c r="J12" s="11" t="inlineStr">
        <is>
          <t>H7, H8, H9</t>
        </is>
      </c>
      <c r="K12" s="11" t="inlineStr">
        <is>
          <t>https://www.fhs.swiss</t>
        </is>
      </c>
      <c r="L12" s="11" t="inlineStr">
        <is>
          <t>Détail par marché de destination</t>
        </is>
      </c>
    </row>
    <row r="13">
      <c r="A13" s="11" t="inlineStr">
        <is>
          <t>fmi</t>
        </is>
      </c>
      <c r="B13" s="11" t="inlineStr">
        <is>
          <t>World Economic Outlook</t>
        </is>
      </c>
      <c r="C13" s="11" t="inlineStr">
        <is>
          <t>Fonds monétaire international</t>
        </is>
      </c>
      <c r="D13" s="11" t="inlineStr">
        <is>
          <t>semestrielle</t>
        </is>
      </c>
      <c r="E13" s="11" t="inlineStr">
        <is>
          <t>CSV</t>
        </is>
      </c>
      <c r="F13" s="11" t="inlineStr">
        <is>
          <t>libre</t>
        </is>
      </c>
      <c r="G13" s="11" t="inlineStr">
        <is>
          <t>certifiee</t>
        </is>
      </c>
      <c r="H13" s="11" t="inlineStr">
        <is>
          <t>N. Castillo</t>
        </is>
      </c>
      <c r="I13" s="11" t="inlineStr">
        <is>
          <t>07.08.2026</t>
        </is>
      </c>
      <c r="J13" s="11" t="inlineStr">
        <is>
          <t>T4</t>
        </is>
      </c>
      <c r="K13" s="11" t="inlineStr">
        <is>
          <t>https://www.imf.org/en/Publications/WEO</t>
        </is>
      </c>
      <c r="L13" s="11" t="n"/>
    </row>
    <row r="14">
      <c r="A14" s="13" t="inlineStr">
        <is>
          <t>iata</t>
        </is>
      </c>
      <c r="B14" s="13" t="inlineStr">
        <is>
          <t>Air Passenger Market Analysis</t>
        </is>
      </c>
      <c r="C14" s="13" t="inlineStr">
        <is>
          <t>IATA</t>
        </is>
      </c>
      <c r="D14" s="13" t="inlineStr">
        <is>
          <t>mensuelle</t>
        </is>
      </c>
      <c r="E14" s="13" t="inlineStr">
        <is>
          <t>PDF</t>
        </is>
      </c>
      <c r="F14" s="13" t="inlineStr">
        <is>
          <t>libre</t>
        </is>
      </c>
      <c r="G14" s="13" t="inlineStr">
        <is>
          <t>a_confirmer</t>
        </is>
      </c>
      <c r="H14" s="13" t="inlineStr">
        <is>
          <t>N. Castillo</t>
        </is>
      </c>
      <c r="I14" s="13" t="inlineStr">
        <is>
          <t>07.08.2026</t>
        </is>
      </c>
      <c r="J14" s="13" t="inlineStr">
        <is>
          <t>S2</t>
        </is>
      </c>
      <c r="K14" s="13" t="inlineStr">
        <is>
          <t>https://www.iata.org</t>
        </is>
      </c>
      <c r="L14" s="13" t="inlineStr">
        <is>
          <t>Séries détaillées réservées aux membres</t>
        </is>
      </c>
    </row>
    <row r="15">
      <c r="A15" s="11" t="inlineStr">
        <is>
          <t>kof</t>
        </is>
      </c>
      <c r="B15" s="11" t="inlineStr">
        <is>
          <t>Baromètre conjoncturel KOF</t>
        </is>
      </c>
      <c r="C15" s="11" t="inlineStr">
        <is>
          <t>KOF ETH Zurich</t>
        </is>
      </c>
      <c r="D15" s="11" t="inlineStr">
        <is>
          <t>mensuelle</t>
        </is>
      </c>
      <c r="E15" s="11" t="inlineStr">
        <is>
          <t>API / CSV</t>
        </is>
      </c>
      <c r="F15" s="11" t="inlineStr">
        <is>
          <t>libre</t>
        </is>
      </c>
      <c r="G15" s="11" t="inlineStr">
        <is>
          <t>certifiee</t>
        </is>
      </c>
      <c r="H15" s="11" t="inlineStr">
        <is>
          <t>N. Castillo</t>
        </is>
      </c>
      <c r="I15" s="11" t="inlineStr">
        <is>
          <t>17.08.2026</t>
        </is>
      </c>
      <c r="J15" s="11" t="inlineStr">
        <is>
          <t>T6</t>
        </is>
      </c>
      <c r="K15" s="11" t="inlineStr">
        <is>
          <t>https://data.kof.ethz.ch</t>
        </is>
      </c>
      <c r="L15" s="11" t="inlineStr">
        <is>
          <t>API v2 publique sans clé (access_type=public), CSV date/valeur, mensuel depuis 1991. Vérifiée en réponse réelle le 17.08.2026. Ancienne API v1 hors service — motif du re-sourçage documenté.</t>
        </is>
      </c>
    </row>
    <row r="16">
      <c r="A16" s="11" t="inlineStr">
        <is>
          <t>ocde</t>
        </is>
      </c>
      <c r="B16" s="11" t="inlineStr">
        <is>
          <t>Principaux indicateurs économiques et CLI</t>
        </is>
      </c>
      <c r="C16" s="11" t="inlineStr">
        <is>
          <t>OCDE</t>
        </is>
      </c>
      <c r="D16" s="11" t="inlineStr">
        <is>
          <t>mensuelle</t>
        </is>
      </c>
      <c r="E16" s="11" t="inlineStr">
        <is>
          <t>API + CSV</t>
        </is>
      </c>
      <c r="F16" s="11" t="inlineStr">
        <is>
          <t>libre</t>
        </is>
      </c>
      <c r="G16" s="11" t="inlineStr">
        <is>
          <t>certifiee</t>
        </is>
      </c>
      <c r="H16" s="11" t="inlineStr">
        <is>
          <t>N. Castillo</t>
        </is>
      </c>
      <c r="I16" s="11" t="inlineStr">
        <is>
          <t>07.08.2026</t>
        </is>
      </c>
      <c r="J16" s="11" t="inlineStr">
        <is>
          <t>T1</t>
        </is>
      </c>
      <c r="K16" s="11" t="inlineStr">
        <is>
          <t>https://data-explorer.oecd.org</t>
        </is>
      </c>
      <c r="L16" s="11" t="inlineStr">
        <is>
          <t>Vérifié le 10.08.2026 : la série CLI est vivante et mensuelle, mais l'agrégat « OCDE total » n'est plus publié — 22 zones disponibles dont G20, G7, G4E, NAFTA. T1 réancré sur G20. Version du flux non épinglée : la 4.1 ne porte plus la mesure LI. Limitation de débit annoncée par la documentation sans être chiffrée.</t>
        </is>
      </c>
    </row>
    <row r="17">
      <c r="A17" s="11" t="inlineStr">
        <is>
          <t>ocde_brevets</t>
        </is>
      </c>
      <c r="B17" s="11" t="inlineStr">
        <is>
          <t>Brevets par domaine technologique</t>
        </is>
      </c>
      <c r="C17" s="11" t="inlineStr">
        <is>
          <t>OCDE</t>
        </is>
      </c>
      <c r="D17" s="11" t="inlineStr">
        <is>
          <t>annuelle</t>
        </is>
      </c>
      <c r="E17" s="11" t="inlineStr">
        <is>
          <t>API SDMX</t>
        </is>
      </c>
      <c r="F17" s="11" t="inlineStr">
        <is>
          <t>libre</t>
        </is>
      </c>
      <c r="G17" s="11" t="inlineStr">
        <is>
          <t>certifiee</t>
        </is>
      </c>
      <c r="H17" s="11" t="inlineStr">
        <is>
          <t>N. Castillo</t>
        </is>
      </c>
      <c r="I17" s="11" t="inlineStr">
        <is>
          <t>25.08.2026</t>
        </is>
      </c>
      <c r="J17" s="11" t="inlineStr">
        <is>
          <t>A7, M6</t>
        </is>
      </c>
      <c r="K17" s="11" t="inlineStr">
        <is>
          <t>https://data-explorer.oecd.org/vis?df[ag]=OECD.STI.PIE&amp;df[id]=DSD_PATENTS@DF_PATENTS_OECDSPECIFIC</t>
        </is>
      </c>
      <c r="L17" s="11" t="inlineStr">
        <is>
          <t>Jeu DF_PATENTS_OECDSPECIFIC. Dix-huit domaines technologiques, dont MEDICAL et TRA (technologies de transport bas carbone). Sans clé. Vérifié en réponse réelle le 25.08.2026 : 13 points annuels 2010-2022, 106 zones disponibles.</t>
        </is>
      </c>
    </row>
    <row r="18">
      <c r="A18" s="11" t="inlineStr">
        <is>
          <t>ofs</t>
        </is>
      </c>
      <c r="B18" s="11" t="inlineStr">
        <is>
          <t>STATENT et statistiques conjoncturelles</t>
        </is>
      </c>
      <c r="C18" s="11" t="inlineStr">
        <is>
          <t>Office fédéral de la statistique</t>
        </is>
      </c>
      <c r="D18" s="11" t="inlineStr">
        <is>
          <t>annuelle</t>
        </is>
      </c>
      <c r="E18" s="11" t="inlineStr">
        <is>
          <t>CSV / Excel</t>
        </is>
      </c>
      <c r="F18" s="11" t="inlineStr">
        <is>
          <t>libre</t>
        </is>
      </c>
      <c r="G18" s="11" t="inlineStr">
        <is>
          <t>certifiee</t>
        </is>
      </c>
      <c r="H18" s="11" t="inlineStr">
        <is>
          <t>N. Castillo</t>
        </is>
      </c>
      <c r="I18" s="11" t="inlineStr">
        <is>
          <t>07.08.2026</t>
        </is>
      </c>
      <c r="J18" s="11" t="inlineStr">
        <is>
          <t>H2, M4</t>
        </is>
      </c>
      <c r="K18" s="11" t="inlineStr">
        <is>
          <t>https://www.bfs.admin.ch</t>
        </is>
      </c>
      <c r="L18" s="11" t="inlineStr">
        <is>
          <t>Nomenclature NOGA</t>
        </is>
      </c>
    </row>
    <row r="19">
      <c r="A19" s="11" t="inlineStr">
        <is>
          <t>oica</t>
        </is>
      </c>
      <c r="B19" s="11" t="inlineStr">
        <is>
          <t>Statistiques de production automobile</t>
        </is>
      </c>
      <c r="C19" s="11" t="inlineStr">
        <is>
          <t>OICA</t>
        </is>
      </c>
      <c r="D19" s="11" t="inlineStr">
        <is>
          <t>annuelle</t>
        </is>
      </c>
      <c r="E19" s="11" t="inlineStr">
        <is>
          <t>Tableaux web</t>
        </is>
      </c>
      <c r="F19" s="11" t="inlineStr">
        <is>
          <t>libre</t>
        </is>
      </c>
      <c r="G19" s="11" t="inlineStr">
        <is>
          <t>certifiee</t>
        </is>
      </c>
      <c r="H19" s="11" t="inlineStr">
        <is>
          <t>N. Castillo</t>
        </is>
      </c>
      <c r="I19" s="11" t="inlineStr">
        <is>
          <t>07.08.2026</t>
        </is>
      </c>
      <c r="J19" s="11" t="inlineStr">
        <is>
          <t>A1</t>
        </is>
      </c>
      <c r="K19" s="11" t="inlineStr">
        <is>
          <t>https://www.oica.net/production-statistics</t>
        </is>
      </c>
      <c r="L19" s="11" t="n"/>
    </row>
    <row r="20">
      <c r="A20" s="11" t="inlineStr">
        <is>
          <t>ompi</t>
        </is>
      </c>
      <c r="B20" s="11" t="inlineStr">
        <is>
          <t>Statistiques de propriété intellectuelle</t>
        </is>
      </c>
      <c r="C20" s="11" t="inlineStr">
        <is>
          <t>OMPI</t>
        </is>
      </c>
      <c r="D20" s="11" t="inlineStr">
        <is>
          <t>annuelle</t>
        </is>
      </c>
      <c r="E20" s="11" t="inlineStr">
        <is>
          <t>CSV</t>
        </is>
      </c>
      <c r="F20" s="11" t="inlineStr">
        <is>
          <t>libre</t>
        </is>
      </c>
      <c r="G20" s="11" t="inlineStr">
        <is>
          <t>certifiee</t>
        </is>
      </c>
      <c r="H20" s="11" t="inlineStr">
        <is>
          <t>N. Castillo</t>
        </is>
      </c>
      <c r="I20" s="11" t="inlineStr">
        <is>
          <t>07.08.2026</t>
        </is>
      </c>
      <c r="J20" s="11" t="inlineStr">
        <is>
          <t>H4</t>
        </is>
      </c>
      <c r="K20" s="11" t="inlineStr">
        <is>
          <t>https://www.wipo.int/ipstats</t>
        </is>
      </c>
      <c r="L20" s="11" t="inlineStr">
        <is>
          <t>Classification CIB</t>
        </is>
      </c>
    </row>
    <row r="21">
      <c r="A21" s="11" t="inlineStr">
        <is>
          <t>ompi_tech</t>
        </is>
      </c>
      <c r="B21" s="11" t="inlineStr">
        <is>
          <t>Indicateurs de brevets par domaine technologique</t>
        </is>
      </c>
      <c r="C21" s="11" t="inlineStr">
        <is>
          <t>OMPI</t>
        </is>
      </c>
      <c r="D21" s="11" t="inlineStr">
        <is>
          <t>annuelle</t>
        </is>
      </c>
      <c r="E21" s="11" t="inlineStr">
        <is>
          <t>ZIP / CSV</t>
        </is>
      </c>
      <c r="F21" s="11" t="inlineStr">
        <is>
          <t>libre</t>
        </is>
      </c>
      <c r="G21" s="11" t="inlineStr">
        <is>
          <t>certifiee</t>
        </is>
      </c>
      <c r="H21" s="11" t="inlineStr">
        <is>
          <t>N. Castillo</t>
        </is>
      </c>
      <c r="I21" s="11" t="inlineStr">
        <is>
          <t>25.08.2026</t>
        </is>
      </c>
      <c r="J21" s="11" t="inlineStr">
        <is>
          <t>T12, T13</t>
        </is>
      </c>
      <c r="K21" s="11" t="inlineStr">
        <is>
          <t>https://www.wipo.int/en/web/ip-statistics</t>
        </is>
      </c>
      <c r="L21" s="11" t="inlineStr">
        <is>
          <t>Archive wipo-data-patent-indicators.zip, téléchargement direct sans inscription. Comptages par année, office, pays d'origine et domaine technologique (35 domaines). Vérifié en réponse réelle le 25.08.2026 : 663 584 lignes, 2000-2022. Table de concordance CIB/domaine publiée séparément et consultée pour établir les limites de granularité — G04 tombe dans « Techniques de mesure », B64 dans « Transport ».</t>
        </is>
      </c>
    </row>
    <row r="22">
      <c r="A22" s="11" t="inlineStr">
        <is>
          <t>oms_ghed</t>
        </is>
      </c>
      <c r="B22" s="11" t="inlineStr">
        <is>
          <t>Global Health Expenditure Database</t>
        </is>
      </c>
      <c r="C22" s="11" t="inlineStr">
        <is>
          <t>OMS</t>
        </is>
      </c>
      <c r="D22" s="11" t="inlineStr">
        <is>
          <t>annuelle</t>
        </is>
      </c>
      <c r="E22" s="11" t="inlineStr">
        <is>
          <t>API / CSV</t>
        </is>
      </c>
      <c r="F22" s="11" t="inlineStr">
        <is>
          <t>libre</t>
        </is>
      </c>
      <c r="G22" s="11" t="inlineStr">
        <is>
          <t>certifiee</t>
        </is>
      </c>
      <c r="H22" s="11" t="inlineStr">
        <is>
          <t>N. Castillo</t>
        </is>
      </c>
      <c r="I22" s="11" t="inlineStr">
        <is>
          <t>07.08.2026</t>
        </is>
      </c>
      <c r="J22" s="11" t="inlineStr">
        <is>
          <t>M3</t>
        </is>
      </c>
      <c r="K22" s="11" t="inlineStr">
        <is>
          <t>https://apps.who.int/nha/database</t>
        </is>
      </c>
      <c r="L22" s="11" t="n"/>
    </row>
    <row r="23">
      <c r="A23" s="11" t="inlineStr">
        <is>
          <t>openfda</t>
        </is>
      </c>
      <c r="B23" s="11" t="inlineStr">
        <is>
          <t>openFDA — bases publiques de la Food and Drug Administration</t>
        </is>
      </c>
      <c r="C23" s="11" t="inlineStr">
        <is>
          <t>U.S. Food and Drug Administration</t>
        </is>
      </c>
      <c r="D23" s="11" t="inlineStr">
        <is>
          <t>quotidienne</t>
        </is>
      </c>
      <c r="E23" s="11" t="inlineStr">
        <is>
          <t>API</t>
        </is>
      </c>
      <c r="F23" s="11" t="inlineStr">
        <is>
          <t>libre</t>
        </is>
      </c>
      <c r="G23" s="11" t="inlineStr">
        <is>
          <t>certifiee</t>
        </is>
      </c>
      <c r="H23" s="11" t="inlineStr">
        <is>
          <t>N. Castillo</t>
        </is>
      </c>
      <c r="I23" s="11" t="inlineStr">
        <is>
          <t>23.08.2026</t>
        </is>
      </c>
      <c r="J23" s="11" t="inlineStr">
        <is>
          <t>M8</t>
        </is>
      </c>
      <c r="K23" s="11" t="inlineStr">
        <is>
          <t>https://open.fda.gov</t>
        </is>
      </c>
      <c r="L23" s="11" t="inlineStr">
        <is>
          <t>API libre et sans clé (quota anonyme). Vérifiée en réponse réelle le 23.08.2026 : onze mois consécutifs de décomptes 510(k). Deux pièges d'appel consignés — la syntaxe d'intervalle « champ:[debut+TO+fin] » ne doit pas voir son « + » encodé (sinon 500), et une recherche sans résultat répond 404 et non 200 avec liste vide.</t>
        </is>
      </c>
    </row>
    <row r="24">
      <c r="A24" s="11" t="inlineStr">
        <is>
          <t>sipri</t>
        </is>
      </c>
      <c r="B24" s="11" t="inlineStr">
        <is>
          <t>Military Expenditure Database</t>
        </is>
      </c>
      <c r="C24" s="11" t="inlineStr">
        <is>
          <t>SIPRI</t>
        </is>
      </c>
      <c r="D24" s="11" t="inlineStr">
        <is>
          <t>annuelle</t>
        </is>
      </c>
      <c r="E24" s="11" t="inlineStr">
        <is>
          <t>CSV</t>
        </is>
      </c>
      <c r="F24" s="11" t="inlineStr">
        <is>
          <t>libre</t>
        </is>
      </c>
      <c r="G24" s="11" t="inlineStr">
        <is>
          <t>certifiee</t>
        </is>
      </c>
      <c r="H24" s="11" t="inlineStr">
        <is>
          <t>N. Castillo</t>
        </is>
      </c>
      <c r="I24" s="11" t="inlineStr">
        <is>
          <t>07.08.2026</t>
        </is>
      </c>
      <c r="J24" s="11" t="inlineStr">
        <is>
          <t>S4</t>
        </is>
      </c>
      <c r="K24" s="11" t="inlineStr">
        <is>
          <t>https://www.sipri.org/databases/milex</t>
        </is>
      </c>
      <c r="L24" s="11" t="inlineStr">
        <is>
          <t>URL corrigée le 24.08.2026 : l'ancienne (milex.sipri.org) échouait à la négociation TLS. Adresse alignée sur celle de la liaison S4.</t>
        </is>
      </c>
    </row>
    <row r="25">
      <c r="A25" s="13" t="inlineStr">
        <is>
          <t>sp_global_pmi</t>
        </is>
      </c>
      <c r="B25" s="13" t="inlineStr">
        <is>
          <t>Indices PMI manufacturiers</t>
        </is>
      </c>
      <c r="C25" s="13" t="inlineStr">
        <is>
          <t>S&amp;P Global</t>
        </is>
      </c>
      <c r="D25" s="13" t="inlineStr">
        <is>
          <t>mensuelle</t>
        </is>
      </c>
      <c r="E25" s="13" t="inlineStr">
        <is>
          <t>Communiqués</t>
        </is>
      </c>
      <c r="F25" s="13" t="inlineStr">
        <is>
          <t>payant</t>
        </is>
      </c>
      <c r="G25" s="13" t="inlineStr">
        <is>
          <t>a_confirmer</t>
        </is>
      </c>
      <c r="H25" s="13" t="inlineStr">
        <is>
          <t>N. Castillo</t>
        </is>
      </c>
      <c r="I25" s="13" t="inlineStr">
        <is>
          <t>07.08.2026</t>
        </is>
      </c>
      <c r="J25" s="13" t="n"/>
      <c r="K25" s="13" t="inlineStr">
        <is>
          <t>https://www.pmi.spglobal.com</t>
        </is>
      </c>
      <c r="L25" s="13" t="inlineStr">
        <is>
          <t>Indices détaillés payants ; valeurs de synthèse dans les communiqués</t>
        </is>
      </c>
    </row>
    <row r="26">
      <c r="A26" s="13" t="inlineStr">
        <is>
          <t>swiss_medtech</t>
        </is>
      </c>
      <c r="B26" s="13" t="inlineStr">
        <is>
          <t>Swiss Medical Technology Industry report</t>
        </is>
      </c>
      <c r="C26" s="13" t="inlineStr">
        <is>
          <t>Swiss Medtech</t>
        </is>
      </c>
      <c r="D26" s="13" t="inlineStr">
        <is>
          <t>bisannuelle</t>
        </is>
      </c>
      <c r="E26" s="13" t="inlineStr">
        <is>
          <t>PDF</t>
        </is>
      </c>
      <c r="F26" s="13" t="inlineStr">
        <is>
          <t>libre</t>
        </is>
      </c>
      <c r="G26" s="13" t="inlineStr">
        <is>
          <t>a_confirmer</t>
        </is>
      </c>
      <c r="H26" s="13" t="inlineStr">
        <is>
          <t>N. Castillo</t>
        </is>
      </c>
      <c r="I26" s="13" t="inlineStr">
        <is>
          <t>07.08.2026</t>
        </is>
      </c>
      <c r="J26" s="13" t="inlineStr">
        <is>
          <t>M5</t>
        </is>
      </c>
      <c r="K26" s="13" t="inlineStr">
        <is>
          <t>https://www.swiss-medtech.ch</t>
        </is>
      </c>
      <c r="L26" s="13" t="inlineStr">
        <is>
          <t>Publication bisannuelle, périodes non alignées sur la fenêtre 2023-2025</t>
        </is>
      </c>
    </row>
    <row r="27">
      <c r="A27" s="11" t="inlineStr">
        <is>
          <t>ted</t>
        </is>
      </c>
      <c r="B27" s="11" t="inlineStr">
        <is>
          <t>Tenders Electronic Daily — marchés publics UE</t>
        </is>
      </c>
      <c r="C27" s="11" t="inlineStr">
        <is>
          <t>Office des publications de l'UE</t>
        </is>
      </c>
      <c r="D27" s="11" t="inlineStr">
        <is>
          <t>quotidienne</t>
        </is>
      </c>
      <c r="E27" s="11" t="inlineStr">
        <is>
          <t>API</t>
        </is>
      </c>
      <c r="F27" s="11" t="inlineStr">
        <is>
          <t>libre</t>
        </is>
      </c>
      <c r="G27" s="11" t="inlineStr">
        <is>
          <t>certifiee</t>
        </is>
      </c>
      <c r="H27" s="11" t="inlineStr">
        <is>
          <t>N. Castillo</t>
        </is>
      </c>
      <c r="I27" s="11" t="inlineStr">
        <is>
          <t>20.08.2026</t>
        </is>
      </c>
      <c r="J27" s="11" t="inlineStr">
        <is>
          <t>M7, S7</t>
        </is>
      </c>
      <c r="K27" s="11" t="inlineStr">
        <is>
          <t>https://ted.europa.eu</t>
        </is>
      </c>
      <c r="L27" s="11" t="inlineStr">
        <is>
          <t>API de recherche v3, POST JSON, sans clé pour la recherche. Vérifiée en réponse réelle le 20.08.2026 (totalNoticeCount par requête CPV + bornes de dates). Source de la famille OSINT F3 (marchés publics) de la demande de ratification.</t>
        </is>
      </c>
    </row>
    <row r="28">
      <c r="A28" s="11" t="inlineStr">
        <is>
          <t>unoosa</t>
        </is>
      </c>
      <c r="B28" s="11" t="inlineStr">
        <is>
          <t>Objets lancés dans l'espace</t>
        </is>
      </c>
      <c r="C28" s="11" t="inlineStr">
        <is>
          <t>UNOOSA / Our World in Data</t>
        </is>
      </c>
      <c r="D28" s="11" t="inlineStr">
        <is>
          <t>annuelle</t>
        </is>
      </c>
      <c r="E28" s="11" t="inlineStr">
        <is>
          <t>CSV</t>
        </is>
      </c>
      <c r="F28" s="11" t="inlineStr">
        <is>
          <t>libre</t>
        </is>
      </c>
      <c r="G28" s="11" t="inlineStr">
        <is>
          <t>certifiee</t>
        </is>
      </c>
      <c r="H28" s="11" t="inlineStr">
        <is>
          <t>N. Castillo</t>
        </is>
      </c>
      <c r="I28" s="11" t="inlineStr">
        <is>
          <t>07.08.2026</t>
        </is>
      </c>
      <c r="J28" s="11" t="inlineStr">
        <is>
          <t>S3</t>
        </is>
      </c>
      <c r="K28" s="11" t="inlineStr">
        <is>
          <t>https://ourworldindata.org/space-exploration-satellites</t>
        </is>
      </c>
      <c r="L28" s="11" t="n"/>
    </row>
  </sheetData>
  <autoFilter ref="A1:L28"/>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2026-08-24T18:50:18Z</dcterms:created>
  <dcterms:modified xsi:type="dcterms:W3CDTF">2026-08-24T18:50:18Z</dcterms:modified>
</cp:coreProperties>
</file>
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'Indicateurs'!$A$1:$Q$46</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'Sources'!$A$1:$L$28</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9">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F7D9D5"/>
      </patternFill>
    </fill>
    <fill>
      <patternFill patternType="solid">
        <fgColor rgb="00E8E2F2"/>
      </patternFill>
    </fill>
    <fill>
      <patternFill patternType="solid">
        <fgColor rgb="00F2F0F7"/>
      </patternFill>
    </fill>
    <fill>
      <patternFill patternType="solid">
        <fgColor rgb="00F0F1F3"/>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9">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24.08.2026 à 19:49</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8</v>
      </c>
      <c r="C2" s="6" t="n">
        <v>6</v>
      </c>
      <c r="D2" s="6" t="n">
        <v>6</v>
      </c>
      <c r="E2" s="6" t="n">
        <v>0</v>
      </c>
      <c r="F2" s="6" t="n">
        <v>2</v>
      </c>
    </row>
    <row r="3">
      <c r="A3" s="6" t="inlineStr">
        <is>
          <t>automobile</t>
        </is>
      </c>
      <c r="B3" s="6" t="n">
        <v>7</v>
      </c>
      <c r="C3" s="6" t="n">
        <v>7</v>
      </c>
      <c r="D3" s="6" t="n">
        <v>6</v>
      </c>
      <c r="E3" s="6" t="n">
        <v>1</v>
      </c>
      <c r="F3" s="6" t="n">
        <v>0</v>
      </c>
    </row>
    <row r="4">
      <c r="A4" s="6" t="inlineStr">
        <is>
          <t>horlogerie</t>
        </is>
      </c>
      <c r="B4" s="6" t="n">
        <v>9</v>
      </c>
      <c r="C4" s="6" t="n">
        <v>8</v>
      </c>
      <c r="D4" s="6" t="n">
        <v>8</v>
      </c>
      <c r="E4" s="6" t="n">
        <v>0</v>
      </c>
      <c r="F4" s="6" t="n">
        <v>1</v>
      </c>
    </row>
    <row r="5">
      <c r="A5" s="6" t="inlineStr">
        <is>
          <t>medical</t>
        </is>
      </c>
      <c r="B5" s="6" t="n">
        <v>8</v>
      </c>
      <c r="C5" s="6" t="n">
        <v>7</v>
      </c>
      <c r="D5" s="6" t="n">
        <v>7</v>
      </c>
      <c r="E5" s="6" t="n">
        <v>0</v>
      </c>
      <c r="F5" s="6" t="n">
        <v>1</v>
      </c>
    </row>
    <row r="6">
      <c r="A6" s="6" t="inlineStr">
        <is>
          <t>transversal</t>
        </is>
      </c>
      <c r="B6" s="6" t="n">
        <v>13</v>
      </c>
      <c r="C6" s="6" t="n">
        <v>11</v>
      </c>
      <c r="D6" s="6" t="n">
        <v>11</v>
      </c>
      <c r="E6" s="6" t="n">
        <v>0</v>
      </c>
      <c r="F6" s="6" t="n">
        <v>0</v>
      </c>
    </row>
    <row r="7">
      <c r="A7" s="6" t="inlineStr">
        <is>
          <t>TOTAL</t>
        </is>
      </c>
      <c r="B7" s="6" t="n">
        <v>45</v>
      </c>
      <c r="C7" s="6" t="n">
        <v>39</v>
      </c>
      <c r="D7" s="6" t="n">
        <v>38</v>
      </c>
      <c r="E7" s="6" t="n">
        <v>1</v>
      </c>
      <c r="F7" s="6" t="n">
        <v>4</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COUNTA(Indicateurs!$J$2:$J$46)</f>
        <v/>
      </c>
    </row>
    <row r="14">
      <c r="A14" s="9" t="inlineStr">
        <is>
          <t>Certifiés</t>
        </is>
      </c>
      <c r="B14" s="10">
        <f>COUNTIF(Indicateurs!$J$2:$J$46,"certifie")</f>
        <v/>
      </c>
    </row>
    <row r="15">
      <c r="A15" s="9" t="inlineStr">
        <is>
          <t>dont hard data</t>
        </is>
      </c>
      <c r="B15" s="10">
        <f>COUNTIFS(Indicateurs!$J$2:$J$46,"certifie",Indicateurs!$G$2:$G$46,"hard")</f>
        <v/>
      </c>
    </row>
    <row r="16">
      <c r="A16" s="9" t="inlineStr">
        <is>
          <t>dont composites</t>
        </is>
      </c>
      <c r="B16" s="10">
        <f>COUNTIFS(Indicateurs!$J$2:$J$46,"certifie",Indicateurs!$G$2:$G$46,"composite")</f>
        <v/>
      </c>
    </row>
    <row r="17">
      <c r="A17" s="9" t="inlineStr">
        <is>
          <t>À confirmer</t>
        </is>
      </c>
      <c r="B17" s="10">
        <f>COUNTIF(Indicateurs!$J$2:$J$46,"a_confirmer")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46"/>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5" customWidth="1" min="8" max="8"/>
    <col width="24" customWidth="1" min="9" max="9"/>
    <col width="13" customWidth="1" min="10" max="10"/>
    <col width="20" customWidth="1" min="11" max="11"/>
    <col width="13" customWidth="1" min="12" max="12"/>
    <col width="19"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1740</v>
      </c>
      <c r="P4" s="11" t="inlineStr">
        <is>
          <t>2014 → 2025</t>
        </is>
      </c>
      <c r="Q4" s="11" t="n">
        <v>132</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mio USD</t>
        </is>
      </c>
      <c r="J5" s="11" t="inlineStr">
        <is>
          <t>certifie</t>
        </is>
      </c>
      <c r="K5" s="11" t="n">
        <v>5</v>
      </c>
      <c r="L5" s="11" t="inlineStr">
        <is>
          <t>libre</t>
        </is>
      </c>
      <c r="M5" s="11" t="inlineStr">
        <is>
          <t>CSV</t>
        </is>
      </c>
      <c r="N5" s="11" t="inlineStr">
        <is>
          <t>https://www.sipri.org/databases/milex</t>
        </is>
      </c>
      <c r="O5" s="11" t="n">
        <v>561</v>
      </c>
      <c r="P5" s="11" t="inlineStr">
        <is>
          <t>2014 → 2025</t>
        </is>
      </c>
      <c r="Q5" s="11" t="n">
        <v>133</v>
      </c>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1032</v>
      </c>
      <c r="P7" s="11" t="inlineStr">
        <is>
          <t>2015 → 2025</t>
        </is>
      </c>
      <c r="Q7" s="11" t="n">
        <v>132</v>
      </c>
    </row>
    <row r="8">
      <c r="A8" s="11" t="inlineStr">
        <is>
          <t>S7</t>
        </is>
      </c>
      <c r="B8" s="11" t="inlineStr">
        <is>
          <t>Aérospatial</t>
        </is>
      </c>
      <c r="C8" s="11" t="inlineStr">
        <is>
          <t>Avis de marchés publics UE en aéronefs et engins spatiaux (TED, CPV 347)</t>
        </is>
      </c>
      <c r="D8" s="11" t="inlineStr">
        <is>
          <t>QV2, QV5</t>
        </is>
      </c>
      <c r="E8" s="11" t="inlineStr">
        <is>
          <t>Tenders Electronic Daily — marchés publics UE</t>
        </is>
      </c>
      <c r="F8" s="11" t="inlineStr">
        <is>
          <t>Office des publications de l'UE</t>
        </is>
      </c>
      <c r="G8" s="11" t="inlineStr">
        <is>
          <t>hard</t>
        </is>
      </c>
      <c r="H8" s="11" t="inlineStr">
        <is>
          <t>mensuelle</t>
        </is>
      </c>
      <c r="I8" s="11" t="inlineStr">
        <is>
          <t>nombre d'avis</t>
        </is>
      </c>
      <c r="J8" s="11" t="inlineStr">
        <is>
          <t>certifie</t>
        </is>
      </c>
      <c r="K8" s="11" t="n"/>
      <c r="L8" s="11" t="inlineStr">
        <is>
          <t>libre</t>
        </is>
      </c>
      <c r="M8" s="11" t="inlineStr">
        <is>
          <t>API</t>
        </is>
      </c>
      <c r="N8" s="11" t="inlineStr">
        <is>
          <t>https://ted.europa.eu</t>
        </is>
      </c>
      <c r="O8" s="11" t="n">
        <v>71</v>
      </c>
      <c r="P8" s="11" t="inlineStr">
        <is>
          <t>2025-08 → 2026-07</t>
        </is>
      </c>
      <c r="Q8" s="11" t="n">
        <v>132</v>
      </c>
    </row>
    <row r="9">
      <c r="A9" s="11" t="inlineStr">
        <is>
          <t>S8</t>
        </is>
      </c>
      <c r="B9" s="11" t="inlineStr">
        <is>
          <t>Aérospatial</t>
        </is>
      </c>
      <c r="C9" s="11" t="inlineStr">
        <is>
          <t>Production aéronautique et spatiale UE (NACE C30.3)</t>
        </is>
      </c>
      <c r="D9" s="11" t="inlineStr">
        <is>
          <t>QV1</t>
        </is>
      </c>
      <c r="E9" s="11" t="inlineStr">
        <is>
          <t>Eurostat — statistiques conjoncturelles et structurelles</t>
        </is>
      </c>
      <c r="F9" s="11" t="inlineStr">
        <is>
          <t>Commission européenne</t>
        </is>
      </c>
      <c r="G9" s="11" t="inlineStr">
        <is>
          <t>hard</t>
        </is>
      </c>
      <c r="H9" s="11" t="inlineStr">
        <is>
          <t>mensuelle</t>
        </is>
      </c>
      <c r="I9" s="11" t="inlineStr">
        <is>
          <t>indice</t>
        </is>
      </c>
      <c r="J9" s="11" t="inlineStr">
        <is>
          <t>certifie</t>
        </is>
      </c>
      <c r="K9" s="11" t="n">
        <v>6</v>
      </c>
      <c r="L9" s="11" t="inlineStr">
        <is>
          <t>libre</t>
        </is>
      </c>
      <c r="M9" s="11" t="inlineStr">
        <is>
          <t>API + CSV</t>
        </is>
      </c>
      <c r="N9" s="11" t="inlineStr">
        <is>
          <t>https://ec.europa.eu/eurostat/data/database</t>
        </is>
      </c>
      <c r="O9" s="11" t="n">
        <v>1242</v>
      </c>
      <c r="P9" s="11" t="inlineStr">
        <is>
          <t>2014-01 → 2026-06</t>
        </is>
      </c>
      <c r="Q9" s="11" t="n">
        <v>132</v>
      </c>
    </row>
    <row r="10">
      <c r="A10" s="11" t="inlineStr">
        <is>
          <t>A1</t>
        </is>
      </c>
      <c r="B10" s="11" t="inlineStr">
        <is>
          <t>Automobile</t>
        </is>
      </c>
      <c r="C10" s="11" t="inlineStr">
        <is>
          <t>Production mondiale de véhicules par pays</t>
        </is>
      </c>
      <c r="D10" s="11" t="inlineStr">
        <is>
          <t>QV1, QV3</t>
        </is>
      </c>
      <c r="E10" s="11" t="inlineStr">
        <is>
          <t>Statistiques de production automobile</t>
        </is>
      </c>
      <c r="F10" s="11" t="inlineStr">
        <is>
          <t>OICA</t>
        </is>
      </c>
      <c r="G10" s="11" t="inlineStr">
        <is>
          <t>hard</t>
        </is>
      </c>
      <c r="H10" s="11" t="inlineStr">
        <is>
          <t>annuelle</t>
        </is>
      </c>
      <c r="I10" s="11" t="inlineStr">
        <is>
          <t>unités</t>
        </is>
      </c>
      <c r="J10" s="11" t="inlineStr">
        <is>
          <t>certifie</t>
        </is>
      </c>
      <c r="K10" s="11" t="n">
        <v>5</v>
      </c>
      <c r="L10" s="11" t="inlineStr">
        <is>
          <t>libre</t>
        </is>
      </c>
      <c r="M10" s="11" t="inlineStr">
        <is>
          <t>Tableaux web</t>
        </is>
      </c>
      <c r="N10" s="11" t="inlineStr">
        <is>
          <t>https://www.oica.net/production-statistics</t>
        </is>
      </c>
      <c r="O10" s="12" t="inlineStr">
        <is>
          <t>aucune collecte</t>
        </is>
      </c>
      <c r="P10" s="11" t="n"/>
      <c r="Q10" s="11" t="n"/>
    </row>
    <row r="11">
      <c r="A11" s="11" t="inlineStr">
        <is>
          <t>A2</t>
        </is>
      </c>
      <c r="B11" s="11" t="inlineStr">
        <is>
          <t>Automobile</t>
        </is>
      </c>
      <c r="C11" s="11" t="inlineStr">
        <is>
          <t>Immatriculations de véhicules neufs en Europe</t>
        </is>
      </c>
      <c r="D11" s="11" t="inlineStr">
        <is>
          <t>QV2</t>
        </is>
      </c>
      <c r="E11" s="11" t="inlineStr">
        <is>
          <t>Immatriculations de véhicules neufs</t>
        </is>
      </c>
      <c r="F11" s="11" t="inlineStr">
        <is>
          <t>ACEA</t>
        </is>
      </c>
      <c r="G11" s="11" t="inlineStr">
        <is>
          <t>composite</t>
        </is>
      </c>
      <c r="H11" s="11" t="inlineStr">
        <is>
          <t>mensuelle</t>
        </is>
      </c>
      <c r="I11" s="11" t="inlineStr">
        <is>
          <t>unités</t>
        </is>
      </c>
      <c r="J11" s="11" t="inlineStr">
        <is>
          <t>certifie</t>
        </is>
      </c>
      <c r="K11" s="11" t="n">
        <v>5</v>
      </c>
      <c r="L11" s="11" t="inlineStr">
        <is>
          <t>libre</t>
        </is>
      </c>
      <c r="M11" s="11" t="inlineStr">
        <is>
          <t>PDF / communiqués</t>
        </is>
      </c>
      <c r="N11" s="11" t="inlineStr">
        <is>
          <t>https://www.acea.auto</t>
        </is>
      </c>
      <c r="O11" s="11" t="n">
        <v>8</v>
      </c>
      <c r="P11" s="11" t="inlineStr">
        <is>
          <t>2025-11 → 2026-06</t>
        </is>
      </c>
      <c r="Q11" s="11" t="n">
        <v>64</v>
      </c>
    </row>
    <row r="12">
      <c r="A12" s="11" t="inlineStr">
        <is>
          <t>A3</t>
        </is>
      </c>
      <c r="B12" s="11" t="inlineStr">
        <is>
          <t>Automobile</t>
        </is>
      </c>
      <c r="C12" s="11" t="inlineStr">
        <is>
          <t>Ventes mondiales de véhicules électriques par pays</t>
        </is>
      </c>
      <c r="D12" s="11" t="inlineStr">
        <is>
          <t>QV2, QV3, QV4</t>
        </is>
      </c>
      <c r="E12" s="11" t="inlineStr">
        <is>
          <t>Global EV Data Explorer</t>
        </is>
      </c>
      <c r="F12" s="11" t="inlineStr">
        <is>
          <t>Agence internationale de l'énergie</t>
        </is>
      </c>
      <c r="G12" s="11" t="inlineStr">
        <is>
          <t>hard</t>
        </is>
      </c>
      <c r="H12" s="11" t="inlineStr">
        <is>
          <t>annuelle</t>
        </is>
      </c>
      <c r="I12" s="11" t="inlineStr">
        <is>
          <t>unités</t>
        </is>
      </c>
      <c r="J12" s="11" t="inlineStr">
        <is>
          <t>certifie</t>
        </is>
      </c>
      <c r="K12" s="11" t="n">
        <v>10</v>
      </c>
      <c r="L12" s="11" t="inlineStr">
        <is>
          <t>libre</t>
        </is>
      </c>
      <c r="M12" s="11" t="inlineStr">
        <is>
          <t>CSV</t>
        </is>
      </c>
      <c r="N12" s="11" t="inlineStr">
        <is>
          <t>https://www.iea.org</t>
        </is>
      </c>
      <c r="O12" s="11" t="n">
        <v>4472</v>
      </c>
      <c r="P12" s="11" t="inlineStr">
        <is>
          <t>2023 → 2025</t>
        </is>
      </c>
      <c r="Q12" s="11" t="n">
        <v>132</v>
      </c>
    </row>
    <row r="13">
      <c r="A13" s="11" t="inlineStr">
        <is>
          <t>A4</t>
        </is>
      </c>
      <c r="B13" s="11" t="inlineStr">
        <is>
          <t>Automobile</t>
        </is>
      </c>
      <c r="C13" s="11" t="inlineStr">
        <is>
          <t>Commerce mondial de parties et accessoires automobiles (SH 8708)</t>
        </is>
      </c>
      <c r="D13" s="11" t="inlineStr">
        <is>
          <t>QV2</t>
        </is>
      </c>
      <c r="E13" s="11" t="inlineStr">
        <is>
          <t>UN Comtrade — commerce international par code SH</t>
        </is>
      </c>
      <c r="F13" s="11" t="inlineStr">
        <is>
          <t>Nations Unies</t>
        </is>
      </c>
      <c r="G13" s="11" t="inlineStr">
        <is>
          <t>hard</t>
        </is>
      </c>
      <c r="H13" s="11" t="inlineStr">
        <is>
          <t>annuelle</t>
        </is>
      </c>
      <c r="I13" s="11" t="inlineStr">
        <is>
          <t>USD</t>
        </is>
      </c>
      <c r="J13" s="11" t="inlineStr">
        <is>
          <t>certifie</t>
        </is>
      </c>
      <c r="K13" s="11" t="n">
        <v>10</v>
      </c>
      <c r="L13" s="11" t="inlineStr">
        <is>
          <t>libre_quota</t>
        </is>
      </c>
      <c r="M13" s="11" t="inlineStr">
        <is>
          <t>API + CSV</t>
        </is>
      </c>
      <c r="N13" s="11" t="inlineStr">
        <is>
          <t>https://comtradeplus.un.org</t>
        </is>
      </c>
      <c r="O13" s="11" t="n">
        <v>1286</v>
      </c>
      <c r="P13" s="11" t="inlineStr">
        <is>
          <t>2015 → 2025</t>
        </is>
      </c>
      <c r="Q13" s="11" t="n">
        <v>132</v>
      </c>
    </row>
    <row r="14">
      <c r="A14" s="11" t="inlineStr">
        <is>
          <t>A5</t>
        </is>
      </c>
      <c r="B14" s="11" t="inlineStr">
        <is>
          <t>Automobile</t>
        </is>
      </c>
      <c r="C14" s="11" t="inlineStr">
        <is>
          <t>Production industrielle automobile UE (NACE C29)</t>
        </is>
      </c>
      <c r="D14" s="11" t="inlineStr">
        <is>
          <t>QV1</t>
        </is>
      </c>
      <c r="E14" s="11" t="inlineStr">
        <is>
          <t>Eurostat — statistiques conjoncturelles et structurelles</t>
        </is>
      </c>
      <c r="F14" s="11" t="inlineStr">
        <is>
          <t>Commission européenne</t>
        </is>
      </c>
      <c r="G14" s="11" t="inlineStr">
        <is>
          <t>hard</t>
        </is>
      </c>
      <c r="H14" s="11" t="inlineStr">
        <is>
          <t>mensuelle</t>
        </is>
      </c>
      <c r="I14" s="11" t="inlineStr">
        <is>
          <t>indice</t>
        </is>
      </c>
      <c r="J14" s="11" t="inlineStr">
        <is>
          <t>certifie</t>
        </is>
      </c>
      <c r="K14" s="11" t="n">
        <v>10</v>
      </c>
      <c r="L14" s="11" t="inlineStr">
        <is>
          <t>libre</t>
        </is>
      </c>
      <c r="M14" s="11" t="inlineStr">
        <is>
          <t>API + CSV</t>
        </is>
      </c>
      <c r="N14" s="11" t="inlineStr">
        <is>
          <t>https://ec.europa.eu/eurostat/data/database</t>
        </is>
      </c>
      <c r="O14" s="11" t="n">
        <v>2061</v>
      </c>
      <c r="P14" s="11" t="inlineStr">
        <is>
          <t>2014-01 → 2026-06</t>
        </is>
      </c>
      <c r="Q14" s="11" t="n">
        <v>132</v>
      </c>
    </row>
    <row r="15">
      <c r="A15" s="11" t="inlineStr">
        <is>
          <t>A6</t>
        </is>
      </c>
      <c r="B15" s="11" t="inlineStr">
        <is>
          <t>Automobile</t>
        </is>
      </c>
      <c r="C15" s="11" t="inlineStr">
        <is>
          <t>Production d'équipements automobiles UE (NACE C29.3)</t>
        </is>
      </c>
      <c r="D15" s="11" t="inlineStr">
        <is>
          <t>QV1, QV2</t>
        </is>
      </c>
      <c r="E15" s="11" t="inlineStr">
        <is>
          <t>Eurostat — statistiques conjoncturelles et structurelles</t>
        </is>
      </c>
      <c r="F15" s="11" t="inlineStr">
        <is>
          <t>Commission européenne</t>
        </is>
      </c>
      <c r="G15" s="11" t="inlineStr">
        <is>
          <t>hard</t>
        </is>
      </c>
      <c r="H15" s="11" t="inlineStr">
        <is>
          <t>mensuelle</t>
        </is>
      </c>
      <c r="I15" s="11" t="inlineStr">
        <is>
          <t>indice</t>
        </is>
      </c>
      <c r="J15" s="11" t="inlineStr">
        <is>
          <t>certifie</t>
        </is>
      </c>
      <c r="K15" s="11" t="n">
        <v>6</v>
      </c>
      <c r="L15" s="11" t="inlineStr">
        <is>
          <t>libre</t>
        </is>
      </c>
      <c r="M15" s="11" t="inlineStr">
        <is>
          <t>API + CSV</t>
        </is>
      </c>
      <c r="N15" s="11" t="inlineStr">
        <is>
          <t>https://ec.europa.eu/eurostat/data/database</t>
        </is>
      </c>
      <c r="O15" s="11" t="n">
        <v>1242</v>
      </c>
      <c r="P15" s="11" t="inlineStr">
        <is>
          <t>2014-01 → 2026-06</t>
        </is>
      </c>
      <c r="Q15" s="11" t="n">
        <v>132</v>
      </c>
    </row>
    <row r="16">
      <c r="A16" s="11" t="inlineStr">
        <is>
          <t>A7</t>
        </is>
      </c>
      <c r="B16" s="11" t="inlineStr">
        <is>
          <t>Automobile</t>
        </is>
      </c>
      <c r="C16" s="11" t="inlineStr">
        <is>
          <t>Brevets en technologies de transport bas carbone (OCDE)</t>
        </is>
      </c>
      <c r="D16" s="11" t="inlineStr">
        <is>
          <t>QV4</t>
        </is>
      </c>
      <c r="E16" s="11" t="inlineStr">
        <is>
          <t>Brevets par domaine technologique</t>
        </is>
      </c>
      <c r="F16" s="11" t="inlineStr">
        <is>
          <t>OCDE</t>
        </is>
      </c>
      <c r="G16" s="11" t="inlineStr">
        <is>
          <t>hard</t>
        </is>
      </c>
      <c r="H16" s="11" t="inlineStr">
        <is>
          <t>annuelle</t>
        </is>
      </c>
      <c r="I16" s="11" t="inlineStr">
        <is>
          <t>nombre</t>
        </is>
      </c>
      <c r="J16" s="11" t="inlineStr">
        <is>
          <t>certifie</t>
        </is>
      </c>
      <c r="K16" s="11" t="n"/>
      <c r="L16" s="11" t="inlineStr">
        <is>
          <t>libre</t>
        </is>
      </c>
      <c r="M16" s="11" t="inlineStr">
        <is>
          <t>API SDMX</t>
        </is>
      </c>
      <c r="N16" s="11" t="inlineStr">
        <is>
          <t>https://data-explorer.oecd.org/vis?df[ag]=OECD.STI.PIE&amp;df[id]=DSD_PATENTS@DF_PATENTS_OECDSPECIFIC</t>
        </is>
      </c>
      <c r="O16" s="11" t="n">
        <v>324</v>
      </c>
      <c r="P16" s="11" t="inlineStr">
        <is>
          <t>2014 → 2022</t>
        </is>
      </c>
      <c r="Q16" s="11" t="n">
        <v>132</v>
      </c>
    </row>
    <row r="17">
      <c r="A17" s="11" t="inlineStr">
        <is>
          <t>H1</t>
        </is>
      </c>
      <c r="B17" s="11" t="inlineStr">
        <is>
          <t>Horlogerie</t>
        </is>
      </c>
      <c r="C17" s="11" t="inlineStr">
        <is>
          <t>Exportations horlogères suisses par marché de destination</t>
        </is>
      </c>
      <c r="D17" s="11" t="inlineStr">
        <is>
          <t>QV2</t>
        </is>
      </c>
      <c r="E17" s="11" t="inlineStr">
        <is>
          <t>UN Comtrade — commerce international par code SH</t>
        </is>
      </c>
      <c r="F17" s="11" t="inlineStr">
        <is>
          <t>Nations Unies</t>
        </is>
      </c>
      <c r="G17" s="11" t="inlineStr">
        <is>
          <t>hard</t>
        </is>
      </c>
      <c r="H17" s="11" t="inlineStr">
        <is>
          <t>mensuelle</t>
        </is>
      </c>
      <c r="I17" s="11" t="inlineStr">
        <is>
          <t>USD</t>
        </is>
      </c>
      <c r="J17" s="11" t="inlineStr">
        <is>
          <t>certifie</t>
        </is>
      </c>
      <c r="K17" s="11" t="n">
        <v>25</v>
      </c>
      <c r="L17" s="11" t="inlineStr">
        <is>
          <t>libre_quota</t>
        </is>
      </c>
      <c r="M17" s="11" t="inlineStr">
        <is>
          <t>API + CSV</t>
        </is>
      </c>
      <c r="N17" s="11" t="inlineStr">
        <is>
          <t>https://comtradeplus.un.org</t>
        </is>
      </c>
      <c r="O17" s="11" t="n">
        <v>61012</v>
      </c>
      <c r="P17" s="11" t="inlineStr">
        <is>
          <t>2023-01 → 2026-05</t>
        </is>
      </c>
      <c r="Q17" s="11" t="n">
        <v>132</v>
      </c>
    </row>
    <row r="18">
      <c r="A18" s="11" t="inlineStr">
        <is>
          <t>H2</t>
        </is>
      </c>
      <c r="B18" s="11" t="inlineStr">
        <is>
          <t>Horlogerie</t>
        </is>
      </c>
      <c r="C18" s="11" t="inlineStr">
        <is>
          <t>Emploi et établissements de la branche horlogère (NOGA 26.52)</t>
        </is>
      </c>
      <c r="D18" s="11" t="inlineStr">
        <is>
          <t>QV1</t>
        </is>
      </c>
      <c r="E18" s="11" t="inlineStr">
        <is>
          <t>STATENT et statistiques conjoncturelles</t>
        </is>
      </c>
      <c r="F18" s="11" t="inlineStr">
        <is>
          <t>Office fédéral de la statistique</t>
        </is>
      </c>
      <c r="G18" s="11" t="inlineStr">
        <is>
          <t>hard</t>
        </is>
      </c>
      <c r="H18" s="11" t="inlineStr">
        <is>
          <t>annuelle</t>
        </is>
      </c>
      <c r="I18" s="11" t="inlineStr">
        <is>
          <t>nombre</t>
        </is>
      </c>
      <c r="J18" s="11" t="inlineStr">
        <is>
          <t>certifie</t>
        </is>
      </c>
      <c r="K18" s="11" t="n">
        <v>5</v>
      </c>
      <c r="L18" s="11" t="inlineStr">
        <is>
          <t>libre</t>
        </is>
      </c>
      <c r="M18" s="11" t="inlineStr">
        <is>
          <t>CSV / Excel</t>
        </is>
      </c>
      <c r="N18" s="11" t="inlineStr">
        <is>
          <t>https://www.bfs.admin.ch</t>
        </is>
      </c>
      <c r="O18" s="11" t="n">
        <v>18</v>
      </c>
      <c r="P18" s="11" t="inlineStr">
        <is>
          <t>2023 → 2023</t>
        </is>
      </c>
      <c r="Q18" s="11" t="n">
        <v>132</v>
      </c>
    </row>
    <row r="19">
      <c r="A19" s="11" t="inlineStr">
        <is>
          <t>H3</t>
        </is>
      </c>
      <c r="B19" s="11" t="inlineStr">
        <is>
          <t>Horlogerie</t>
        </is>
      </c>
      <c r="C19" s="11" t="inlineStr">
        <is>
          <t>Commerce mondial d'articles d'horlogerie (SH ch. 91), par pays</t>
        </is>
      </c>
      <c r="D19" s="11" t="inlineStr">
        <is>
          <t>QV2, QV3</t>
        </is>
      </c>
      <c r="E19" s="11" t="inlineStr">
        <is>
          <t>UN Comtrade — commerce international par code SH</t>
        </is>
      </c>
      <c r="F19" s="11" t="inlineStr">
        <is>
          <t>Nations Unies</t>
        </is>
      </c>
      <c r="G19" s="11" t="inlineStr">
        <is>
          <t>hard</t>
        </is>
      </c>
      <c r="H19" s="11" t="inlineStr">
        <is>
          <t>annuelle</t>
        </is>
      </c>
      <c r="I19" s="11" t="inlineStr">
        <is>
          <t>USD</t>
        </is>
      </c>
      <c r="J19" s="11" t="inlineStr">
        <is>
          <t>certifie</t>
        </is>
      </c>
      <c r="K19" s="11" t="n">
        <v>10</v>
      </c>
      <c r="L19" s="11" t="inlineStr">
        <is>
          <t>libre_quota</t>
        </is>
      </c>
      <c r="M19" s="11" t="inlineStr">
        <is>
          <t>API + CSV</t>
        </is>
      </c>
      <c r="N19" s="11" t="inlineStr">
        <is>
          <t>https://comtradeplus.un.org</t>
        </is>
      </c>
      <c r="O19" s="11" t="n">
        <v>1218</v>
      </c>
      <c r="P19" s="11" t="inlineStr">
        <is>
          <t>2015 → 2025</t>
        </is>
      </c>
      <c r="Q19" s="11" t="n">
        <v>132</v>
      </c>
    </row>
    <row r="20">
      <c r="A20" s="11" t="inlineStr">
        <is>
          <t>H4</t>
        </is>
      </c>
      <c r="B20" s="11" t="inlineStr">
        <is>
          <t>Horlogerie</t>
        </is>
      </c>
      <c r="C20" s="11" t="inlineStr">
        <is>
          <t>Dépôts de brevets en horlogerie (CIB G04)</t>
        </is>
      </c>
      <c r="D20" s="11" t="inlineStr">
        <is>
          <t>QV4</t>
        </is>
      </c>
      <c r="E20" s="11" t="inlineStr">
        <is>
          <t>Statistiques de propriété intellectuelle</t>
        </is>
      </c>
      <c r="F20" s="11" t="inlineStr">
        <is>
          <t>OMPI</t>
        </is>
      </c>
      <c r="G20" s="11" t="inlineStr">
        <is>
          <t>hard</t>
        </is>
      </c>
      <c r="H20" s="11" t="inlineStr">
        <is>
          <t>annuelle</t>
        </is>
      </c>
      <c r="I20" s="11" t="inlineStr">
        <is>
          <t>nombre</t>
        </is>
      </c>
      <c r="J20" s="11" t="inlineStr">
        <is>
          <t>certifie</t>
        </is>
      </c>
      <c r="K20" s="11" t="n">
        <v>10</v>
      </c>
      <c r="L20" s="11" t="inlineStr">
        <is>
          <t>libre</t>
        </is>
      </c>
      <c r="M20" s="11" t="inlineStr">
        <is>
          <t>CSV</t>
        </is>
      </c>
      <c r="N20" s="11" t="inlineStr">
        <is>
          <t>https://www.wipo.int/ipstats</t>
        </is>
      </c>
      <c r="O20" s="12" t="inlineStr">
        <is>
          <t>aucune collecte</t>
        </is>
      </c>
      <c r="P20" s="11" t="n"/>
      <c r="Q20" s="11" t="n"/>
    </row>
    <row r="21">
      <c r="A21" s="13" t="inlineStr">
        <is>
          <t>H5</t>
        </is>
      </c>
      <c r="B21" s="13" t="inlineStr">
        <is>
          <t>Horlogerie</t>
        </is>
      </c>
      <c r="C21" s="13" t="inlineStr">
        <is>
          <t>Climat de branche et perspectives</t>
        </is>
      </c>
      <c r="D21" s="13" t="inlineStr">
        <is>
          <t>QV1, QV5</t>
        </is>
      </c>
      <c r="E21" s="13" t="inlineStr">
        <is>
          <t>Swiss Watch Industry Study</t>
        </is>
      </c>
      <c r="F21" s="13" t="inlineStr">
        <is>
          <t>Deloitte</t>
        </is>
      </c>
      <c r="G21" s="13" t="inlineStr">
        <is>
          <t>composite</t>
        </is>
      </c>
      <c r="H21" s="13" t="inlineStr">
        <is>
          <t>annuelle</t>
        </is>
      </c>
      <c r="I21" s="13" t="inlineStr">
        <is>
          <t>qualitatif</t>
        </is>
      </c>
      <c r="J21" s="13" t="inlineStr">
        <is>
          <t>a_confirmer</t>
        </is>
      </c>
      <c r="K21" s="13" t="n"/>
      <c r="L21" s="13" t="inlineStr">
        <is>
          <t>libre</t>
        </is>
      </c>
      <c r="M21" s="13" t="inlineStr">
        <is>
          <t>PDF</t>
        </is>
      </c>
      <c r="N21" s="13" t="inlineStr">
        <is>
          <t>https://www.deloitte.com/ch</t>
        </is>
      </c>
      <c r="O21" s="14" t="inlineStr">
        <is>
          <t>aucune collecte</t>
        </is>
      </c>
      <c r="P21" s="13" t="n"/>
      <c r="Q21" s="13" t="n"/>
    </row>
    <row r="22">
      <c r="A22" s="11" t="inlineStr">
        <is>
          <t>H6</t>
        </is>
      </c>
      <c r="B22" s="11" t="inlineStr">
        <is>
          <t>Horlogerie</t>
        </is>
      </c>
      <c r="C22" s="11" t="inlineStr">
        <is>
          <t>Production horlogère UE (NACE C26.52)</t>
        </is>
      </c>
      <c r="D22" s="11" t="inlineStr">
        <is>
          <t>QV1</t>
        </is>
      </c>
      <c r="E22" s="11" t="inlineStr">
        <is>
          <t>Eurostat — statistiques conjoncturelles et structurelles</t>
        </is>
      </c>
      <c r="F22" s="11" t="inlineStr">
        <is>
          <t>Commission européenne</t>
        </is>
      </c>
      <c r="G22" s="11" t="inlineStr">
        <is>
          <t>hard</t>
        </is>
      </c>
      <c r="H22" s="11" t="inlineStr">
        <is>
          <t>mensuelle</t>
        </is>
      </c>
      <c r="I22" s="11" t="inlineStr">
        <is>
          <t>indice</t>
        </is>
      </c>
      <c r="J22" s="11" t="inlineStr">
        <is>
          <t>certifie</t>
        </is>
      </c>
      <c r="K22" s="11" t="n">
        <v>6</v>
      </c>
      <c r="L22" s="11" t="inlineStr">
        <is>
          <t>libre</t>
        </is>
      </c>
      <c r="M22" s="11" t="inlineStr">
        <is>
          <t>API + CSV</t>
        </is>
      </c>
      <c r="N22" s="11" t="inlineStr">
        <is>
          <t>https://ec.europa.eu/eurostat/data/database</t>
        </is>
      </c>
      <c r="O22" s="11" t="n">
        <v>1242</v>
      </c>
      <c r="P22" s="11" t="inlineStr">
        <is>
          <t>2014-01 → 2026-06</t>
        </is>
      </c>
      <c r="Q22" s="11" t="n">
        <v>132</v>
      </c>
    </row>
    <row r="23">
      <c r="A23" s="11" t="inlineStr">
        <is>
          <t>H7</t>
        </is>
      </c>
      <c r="B23" s="11" t="inlineStr">
        <is>
          <t>Horlogerie</t>
        </is>
      </c>
      <c r="C23" s="11" t="inlineStr">
        <is>
          <t>Exportations horlogères suisses, valeur totale (FH)</t>
        </is>
      </c>
      <c r="D23" s="11" t="inlineStr">
        <is>
          <t>QV2</t>
        </is>
      </c>
      <c r="E23" s="11" t="inlineStr">
        <is>
          <t>Statistiques d'exportation horlogère</t>
        </is>
      </c>
      <c r="F23" s="11" t="inlineStr">
        <is>
          <t>Fédération de l'industrie horlogère suisse</t>
        </is>
      </c>
      <c r="G23" s="11" t="inlineStr">
        <is>
          <t>hard</t>
        </is>
      </c>
      <c r="H23" s="11" t="inlineStr">
        <is>
          <t>mensuelle</t>
        </is>
      </c>
      <c r="I23" s="11" t="inlineStr">
        <is>
          <t>mio CHF</t>
        </is>
      </c>
      <c r="J23" s="11" t="inlineStr">
        <is>
          <t>certifie</t>
        </is>
      </c>
      <c r="K23" s="11" t="n">
        <v>8</v>
      </c>
      <c r="L23" s="11" t="inlineStr">
        <is>
          <t>libre</t>
        </is>
      </c>
      <c r="M23" s="11" t="inlineStr">
        <is>
          <t>PDF / communiqués</t>
        </is>
      </c>
      <c r="N23" s="11" t="inlineStr">
        <is>
          <t>https://www.fhs.swiss</t>
        </is>
      </c>
      <c r="O23" s="11" t="n">
        <v>57</v>
      </c>
      <c r="P23" s="11" t="inlineStr">
        <is>
          <t>2025-01 → 2026-07</t>
        </is>
      </c>
      <c r="Q23" s="11" t="n">
        <v>134</v>
      </c>
    </row>
    <row r="24">
      <c r="A24" s="11" t="inlineStr">
        <is>
          <t>H8</t>
        </is>
      </c>
      <c r="B24" s="11" t="inlineStr">
        <is>
          <t>Horlogerie</t>
        </is>
      </c>
      <c r="C24" s="11" t="inlineStr">
        <is>
          <t>Exportations de montres mécaniques, valeur (FH)</t>
        </is>
      </c>
      <c r="D24" s="11" t="inlineStr">
        <is>
          <t>QV1, QV2</t>
        </is>
      </c>
      <c r="E24" s="11" t="inlineStr">
        <is>
          <t>Statistiques d'exportation horlogère</t>
        </is>
      </c>
      <c r="F24" s="11" t="inlineStr">
        <is>
          <t>Fédération de l'industrie horlogère suisse</t>
        </is>
      </c>
      <c r="G24" s="11" t="inlineStr">
        <is>
          <t>hard</t>
        </is>
      </c>
      <c r="H24" s="11" t="inlineStr">
        <is>
          <t>mensuelle</t>
        </is>
      </c>
      <c r="I24" s="11" t="inlineStr">
        <is>
          <t>mio CHF</t>
        </is>
      </c>
      <c r="J24" s="11" t="inlineStr">
        <is>
          <t>certifie</t>
        </is>
      </c>
      <c r="K24" s="11" t="n">
        <v>8</v>
      </c>
      <c r="L24" s="11" t="inlineStr">
        <is>
          <t>libre</t>
        </is>
      </c>
      <c r="M24" s="11" t="inlineStr">
        <is>
          <t>PDF / communiqués</t>
        </is>
      </c>
      <c r="N24" s="11" t="inlineStr">
        <is>
          <t>https://www.fhs.swiss</t>
        </is>
      </c>
      <c r="O24" s="11" t="n">
        <v>57</v>
      </c>
      <c r="P24" s="11" t="inlineStr">
        <is>
          <t>2025-01 → 2026-07</t>
        </is>
      </c>
      <c r="Q24" s="11" t="n">
        <v>134</v>
      </c>
    </row>
    <row r="25">
      <c r="A25" s="11" t="inlineStr">
        <is>
          <t>H9</t>
        </is>
      </c>
      <c r="B25" s="11" t="inlineStr">
        <is>
          <t>Horlogerie</t>
        </is>
      </c>
      <c r="C25" s="11" t="inlineStr">
        <is>
          <t>Exportations de montres mécaniques, volume (FH)</t>
        </is>
      </c>
      <c r="D25" s="11" t="inlineStr">
        <is>
          <t>QV1</t>
        </is>
      </c>
      <c r="E25" s="11" t="inlineStr">
        <is>
          <t>Statistiques d'exportation horlogère</t>
        </is>
      </c>
      <c r="F25" s="11" t="inlineStr">
        <is>
          <t>Fédération de l'industrie horlogère suisse</t>
        </is>
      </c>
      <c r="G25" s="11" t="inlineStr">
        <is>
          <t>hard</t>
        </is>
      </c>
      <c r="H25" s="11" t="inlineStr">
        <is>
          <t>mensuelle</t>
        </is>
      </c>
      <c r="I25" s="11" t="inlineStr">
        <is>
          <t>milliers de pièces</t>
        </is>
      </c>
      <c r="J25" s="11" t="inlineStr">
        <is>
          <t>certifie</t>
        </is>
      </c>
      <c r="K25" s="11" t="n">
        <v>8</v>
      </c>
      <c r="L25" s="11" t="inlineStr">
        <is>
          <t>libre</t>
        </is>
      </c>
      <c r="M25" s="11" t="inlineStr">
        <is>
          <t>PDF / communiqués</t>
        </is>
      </c>
      <c r="N25" s="11" t="inlineStr">
        <is>
          <t>https://www.fhs.swiss</t>
        </is>
      </c>
      <c r="O25" s="11" t="n">
        <v>57</v>
      </c>
      <c r="P25" s="11" t="inlineStr">
        <is>
          <t>2025-01 → 2026-07</t>
        </is>
      </c>
      <c r="Q25" s="11" t="n">
        <v>134</v>
      </c>
    </row>
    <row r="26">
      <c r="A26" s="11" t="inlineStr">
        <is>
          <t>M1</t>
        </is>
      </c>
      <c r="B26" s="11" t="inlineStr">
        <is>
          <t>Médical</t>
        </is>
      </c>
      <c r="C26" s="11" t="inlineStr">
        <is>
          <t>Commerce mondial d'instruments médicaux (SH 9018-9022), par pays</t>
        </is>
      </c>
      <c r="D26" s="11" t="inlineStr">
        <is>
          <t>QV2, QV3</t>
        </is>
      </c>
      <c r="E26" s="11" t="inlineStr">
        <is>
          <t>UN Comtrade — commerce international par code SH</t>
        </is>
      </c>
      <c r="F26" s="11" t="inlineStr">
        <is>
          <t>Nations Unies</t>
        </is>
      </c>
      <c r="G26" s="11" t="inlineStr">
        <is>
          <t>hard</t>
        </is>
      </c>
      <c r="H26" s="11" t="inlineStr">
        <is>
          <t>annuelle</t>
        </is>
      </c>
      <c r="I26" s="11" t="inlineStr">
        <is>
          <t>USD</t>
        </is>
      </c>
      <c r="J26" s="11" t="inlineStr">
        <is>
          <t>certifie</t>
        </is>
      </c>
      <c r="K26" s="11" t="n">
        <v>12</v>
      </c>
      <c r="L26" s="11" t="inlineStr">
        <is>
          <t>libre_quota</t>
        </is>
      </c>
      <c r="M26" s="11" t="inlineStr">
        <is>
          <t>API + CSV</t>
        </is>
      </c>
      <c r="N26" s="11" t="inlineStr">
        <is>
          <t>https://comtradeplus.un.org</t>
        </is>
      </c>
      <c r="O26" s="11" t="n">
        <v>1332</v>
      </c>
      <c r="P26" s="11" t="inlineStr">
        <is>
          <t>2015 → 2025</t>
        </is>
      </c>
      <c r="Q26" s="11" t="n">
        <v>132</v>
      </c>
    </row>
    <row r="27">
      <c r="A27" s="11" t="inlineStr">
        <is>
          <t>M2</t>
        </is>
      </c>
      <c r="B27" s="11" t="inlineStr">
        <is>
          <t>Médical</t>
        </is>
      </c>
      <c r="C27" s="11" t="inlineStr">
        <is>
          <t>Production de l'industrie manufacturière diverse UE (NACE C32, dont instruments médicaux C32.5)</t>
        </is>
      </c>
      <c r="D27" s="11" t="inlineStr">
        <is>
          <t>QV1</t>
        </is>
      </c>
      <c r="E27" s="11" t="inlineStr">
        <is>
          <t>Eurostat — statistiques conjoncturelles et structurelles</t>
        </is>
      </c>
      <c r="F27" s="11" t="inlineStr">
        <is>
          <t>Commission européenne</t>
        </is>
      </c>
      <c r="G27" s="11" t="inlineStr">
        <is>
          <t>hard</t>
        </is>
      </c>
      <c r="H27" s="11" t="inlineStr">
        <is>
          <t>mensuelle</t>
        </is>
      </c>
      <c r="I27" s="11" t="inlineStr">
        <is>
          <t>indice</t>
        </is>
      </c>
      <c r="J27" s="11" t="inlineStr">
        <is>
          <t>certifie</t>
        </is>
      </c>
      <c r="K27" s="11" t="n">
        <v>12</v>
      </c>
      <c r="L27" s="11" t="inlineStr">
        <is>
          <t>libre</t>
        </is>
      </c>
      <c r="M27" s="11" t="inlineStr">
        <is>
          <t>API + CSV</t>
        </is>
      </c>
      <c r="N27" s="11" t="inlineStr">
        <is>
          <t>https://ec.europa.eu/eurostat/data/database</t>
        </is>
      </c>
      <c r="O27" s="11" t="n">
        <v>1942</v>
      </c>
      <c r="P27" s="11" t="inlineStr">
        <is>
          <t>2015-01 → 2026-06</t>
        </is>
      </c>
      <c r="Q27" s="11" t="n">
        <v>132</v>
      </c>
    </row>
    <row r="28">
      <c r="A28" s="11" t="inlineStr">
        <is>
          <t>M3</t>
        </is>
      </c>
      <c r="B28" s="11" t="inlineStr">
        <is>
          <t>Médical</t>
        </is>
      </c>
      <c r="C28" s="11" t="inlineStr">
        <is>
          <t>Dépenses de santé par pays (part du PIB et par habitant)</t>
        </is>
      </c>
      <c r="D28" s="11" t="inlineStr">
        <is>
          <t>QV2, QV5</t>
        </is>
      </c>
      <c r="E28" s="11" t="inlineStr">
        <is>
          <t>Global Health Expenditure Database</t>
        </is>
      </c>
      <c r="F28" s="11" t="inlineStr">
        <is>
          <t>OMS</t>
        </is>
      </c>
      <c r="G28" s="11" t="inlineStr">
        <is>
          <t>hard</t>
        </is>
      </c>
      <c r="H28" s="11" t="inlineStr">
        <is>
          <t>annuelle</t>
        </is>
      </c>
      <c r="I28" s="11" t="inlineStr">
        <is>
          <t>pourcentage du PIB</t>
        </is>
      </c>
      <c r="J28" s="11" t="inlineStr">
        <is>
          <t>certifie</t>
        </is>
      </c>
      <c r="K28" s="11" t="n">
        <v>3</v>
      </c>
      <c r="L28" s="11" t="inlineStr">
        <is>
          <t>libre</t>
        </is>
      </c>
      <c r="M28" s="11" t="inlineStr">
        <is>
          <t>API / CSV</t>
        </is>
      </c>
      <c r="N28" s="11" t="inlineStr">
        <is>
          <t>https://apps.who.int/nha/database</t>
        </is>
      </c>
      <c r="O28" s="11" t="n">
        <v>4101</v>
      </c>
      <c r="P28" s="11" t="inlineStr">
        <is>
          <t>2023 → 2023</t>
        </is>
      </c>
      <c r="Q28" s="11" t="n">
        <v>132</v>
      </c>
    </row>
    <row r="29">
      <c r="A29" s="11" t="inlineStr">
        <is>
          <t>M4</t>
        </is>
      </c>
      <c r="B29" s="11" t="inlineStr">
        <is>
          <t>Médical</t>
        </is>
      </c>
      <c r="C29" s="11" t="inlineStr">
        <is>
          <t>Emploi et établissements medtech suisses (NOGA 32.5, 26.6)</t>
        </is>
      </c>
      <c r="D29" s="11" t="inlineStr">
        <is>
          <t>QV1</t>
        </is>
      </c>
      <c r="E29" s="11" t="inlineStr">
        <is>
          <t>STATENT et statistiques conjoncturelles</t>
        </is>
      </c>
      <c r="F29" s="11" t="inlineStr">
        <is>
          <t>Office fédéral de la statistique</t>
        </is>
      </c>
      <c r="G29" s="11" t="inlineStr">
        <is>
          <t>hard</t>
        </is>
      </c>
      <c r="H29" s="11" t="inlineStr">
        <is>
          <t>annuelle</t>
        </is>
      </c>
      <c r="I29" s="11" t="inlineStr">
        <is>
          <t>nombre</t>
        </is>
      </c>
      <c r="J29" s="11" t="inlineStr">
        <is>
          <t>certifie</t>
        </is>
      </c>
      <c r="K29" s="11" t="n">
        <v>5</v>
      </c>
      <c r="L29" s="11" t="inlineStr">
        <is>
          <t>libre</t>
        </is>
      </c>
      <c r="M29" s="11" t="inlineStr">
        <is>
          <t>CSV / Excel</t>
        </is>
      </c>
      <c r="N29" s="11" t="inlineStr">
        <is>
          <t>https://www.bfs.admin.ch</t>
        </is>
      </c>
      <c r="O29" s="11" t="n">
        <v>18</v>
      </c>
      <c r="P29" s="11" t="inlineStr">
        <is>
          <t>2023 → 2023</t>
        </is>
      </c>
      <c r="Q29" s="11" t="n">
        <v>132</v>
      </c>
    </row>
    <row r="30">
      <c r="A30" s="13" t="inlineStr">
        <is>
          <t>M5</t>
        </is>
      </c>
      <c r="B30" s="13" t="inlineStr">
        <is>
          <t>Médical</t>
        </is>
      </c>
      <c r="C30" s="13" t="inlineStr">
        <is>
          <t>Panorama de la branche medtech suisse</t>
        </is>
      </c>
      <c r="D30" s="13" t="inlineStr">
        <is>
          <t>QV1, QV3</t>
        </is>
      </c>
      <c r="E30" s="13" t="inlineStr">
        <is>
          <t>Swiss Medical Technology Industry report</t>
        </is>
      </c>
      <c r="F30" s="13" t="inlineStr">
        <is>
          <t>Swiss Medtech</t>
        </is>
      </c>
      <c r="G30" s="13" t="inlineStr">
        <is>
          <t>composite</t>
        </is>
      </c>
      <c r="H30" s="13" t="inlineStr">
        <is>
          <t>bisannuelle</t>
        </is>
      </c>
      <c r="I30" s="13" t="inlineStr">
        <is>
          <t>mia CHF</t>
        </is>
      </c>
      <c r="J30" s="13" t="inlineStr">
        <is>
          <t>a_confirmer</t>
        </is>
      </c>
      <c r="K30" s="13" t="n"/>
      <c r="L30" s="13" t="inlineStr">
        <is>
          <t>libre</t>
        </is>
      </c>
      <c r="M30" s="13" t="inlineStr">
        <is>
          <t>PDF</t>
        </is>
      </c>
      <c r="N30" s="13" t="inlineStr">
        <is>
          <t>https://www.swiss-medtech.ch</t>
        </is>
      </c>
      <c r="O30" s="14" t="inlineStr">
        <is>
          <t>aucune collecte</t>
        </is>
      </c>
      <c r="P30" s="13" t="n"/>
      <c r="Q30" s="13" t="n"/>
    </row>
    <row r="31">
      <c r="A31" s="11" t="inlineStr">
        <is>
          <t>M6</t>
        </is>
      </c>
      <c r="B31" s="11" t="inlineStr">
        <is>
          <t>Médical</t>
        </is>
      </c>
      <c r="C31" s="11" t="inlineStr">
        <is>
          <t>Brevets en technologie médicale, dépôts à l'OEB (OCDE)</t>
        </is>
      </c>
      <c r="D31" s="11" t="inlineStr">
        <is>
          <t>QV4</t>
        </is>
      </c>
      <c r="E31" s="11" t="inlineStr">
        <is>
          <t>Brevets par domaine technologique</t>
        </is>
      </c>
      <c r="F31" s="11" t="inlineStr">
        <is>
          <t>OCDE</t>
        </is>
      </c>
      <c r="G31" s="11" t="inlineStr">
        <is>
          <t>hard</t>
        </is>
      </c>
      <c r="H31" s="11" t="inlineStr">
        <is>
          <t>annuelle</t>
        </is>
      </c>
      <c r="I31" s="11" t="inlineStr">
        <is>
          <t>nombre</t>
        </is>
      </c>
      <c r="J31" s="11" t="inlineStr">
        <is>
          <t>certifie</t>
        </is>
      </c>
      <c r="K31" s="11" t="n"/>
      <c r="L31" s="11" t="inlineStr">
        <is>
          <t>libre</t>
        </is>
      </c>
      <c r="M31" s="11" t="inlineStr">
        <is>
          <t>API SDMX</t>
        </is>
      </c>
      <c r="N31" s="11" t="inlineStr">
        <is>
          <t>https://data-explorer.oecd.org/vis?df[ag]=OECD.STI.PIE&amp;df[id]=DSD_PATENTS@DF_PATENTS_OECDSPECIFIC</t>
        </is>
      </c>
      <c r="O31" s="11" t="n">
        <v>324</v>
      </c>
      <c r="P31" s="11" t="inlineStr">
        <is>
          <t>2014 → 2022</t>
        </is>
      </c>
      <c r="Q31" s="11" t="n">
        <v>132</v>
      </c>
    </row>
    <row r="32">
      <c r="A32" s="11" t="inlineStr">
        <is>
          <t>M7</t>
        </is>
      </c>
      <c r="B32" s="11" t="inlineStr">
        <is>
          <t>Médical</t>
        </is>
      </c>
      <c r="C32" s="11" t="inlineStr">
        <is>
          <t>Avis de marchés publics UE en équipements médicaux (TED, CPV 33)</t>
        </is>
      </c>
      <c r="D32" s="11" t="inlineStr">
        <is>
          <t>QV2, QV5</t>
        </is>
      </c>
      <c r="E32" s="11" t="inlineStr">
        <is>
          <t>Tenders Electronic Daily — marchés publics UE</t>
        </is>
      </c>
      <c r="F32" s="11" t="inlineStr">
        <is>
          <t>Office des publications de l'UE</t>
        </is>
      </c>
      <c r="G32" s="11" t="inlineStr">
        <is>
          <t>hard</t>
        </is>
      </c>
      <c r="H32" s="11" t="inlineStr">
        <is>
          <t>mensuelle</t>
        </is>
      </c>
      <c r="I32" s="11" t="inlineStr">
        <is>
          <t>nombre d'avis</t>
        </is>
      </c>
      <c r="J32" s="11" t="inlineStr">
        <is>
          <t>certifie</t>
        </is>
      </c>
      <c r="K32" s="11" t="n"/>
      <c r="L32" s="11" t="inlineStr">
        <is>
          <t>libre</t>
        </is>
      </c>
      <c r="M32" s="11" t="inlineStr">
        <is>
          <t>API</t>
        </is>
      </c>
      <c r="N32" s="11" t="inlineStr">
        <is>
          <t>https://ted.europa.eu</t>
        </is>
      </c>
      <c r="O32" s="11" t="n">
        <v>50</v>
      </c>
      <c r="P32" s="11" t="inlineStr">
        <is>
          <t>2025-08 → 2026-07</t>
        </is>
      </c>
      <c r="Q32" s="11" t="n">
        <v>132</v>
      </c>
    </row>
    <row r="33">
      <c r="A33" s="11" t="inlineStr">
        <is>
          <t>M8</t>
        </is>
      </c>
      <c r="B33" s="11" t="inlineStr">
        <is>
          <t>Médical</t>
        </is>
      </c>
      <c r="C33" s="11" t="inlineStr">
        <is>
          <t>Autorisations FDA 510(k) de dispositifs médicaux (États-Unis)</t>
        </is>
      </c>
      <c r="D33" s="11" t="inlineStr">
        <is>
          <t>QV2, QV4</t>
        </is>
      </c>
      <c r="E33" s="11" t="inlineStr">
        <is>
          <t>openFDA — bases publiques de la Food and Drug Administration</t>
        </is>
      </c>
      <c r="F33" s="11" t="inlineStr">
        <is>
          <t>U.S. Food and Drug Administration</t>
        </is>
      </c>
      <c r="G33" s="11" t="inlineStr">
        <is>
          <t>hard</t>
        </is>
      </c>
      <c r="H33" s="11" t="inlineStr">
        <is>
          <t>mensuelle</t>
        </is>
      </c>
      <c r="I33" s="11" t="inlineStr">
        <is>
          <t>nombre d'autorisations</t>
        </is>
      </c>
      <c r="J33" s="11" t="inlineStr">
        <is>
          <t>certifie</t>
        </is>
      </c>
      <c r="K33" s="11" t="n"/>
      <c r="L33" s="11" t="inlineStr">
        <is>
          <t>libre</t>
        </is>
      </c>
      <c r="M33" s="11" t="inlineStr">
        <is>
          <t>API</t>
        </is>
      </c>
      <c r="N33" s="11" t="inlineStr">
        <is>
          <t>https://open.fda.gov</t>
        </is>
      </c>
      <c r="O33" s="11" t="n">
        <v>59</v>
      </c>
      <c r="P33" s="11" t="inlineStr">
        <is>
          <t>2025-08 → 2026-07</t>
        </is>
      </c>
      <c r="Q33" s="11" t="n">
        <v>132</v>
      </c>
    </row>
    <row r="34">
      <c r="A34" s="11" t="inlineStr">
        <is>
          <t>T1</t>
        </is>
      </c>
      <c r="B34" s="11" t="inlineStr">
        <is>
          <t>Socle transversal</t>
        </is>
      </c>
      <c r="C34" s="11" t="inlineStr">
        <is>
          <t>Indicateur composite avancé (CLI), zone G20</t>
        </is>
      </c>
      <c r="D34" s="11" t="inlineStr">
        <is>
          <t>QV0</t>
        </is>
      </c>
      <c r="E34" s="11" t="inlineStr">
        <is>
          <t>Principaux indicateurs économiques et CLI</t>
        </is>
      </c>
      <c r="F34" s="11" t="inlineStr">
        <is>
          <t>OCDE</t>
        </is>
      </c>
      <c r="G34" s="11" t="inlineStr">
        <is>
          <t>hard</t>
        </is>
      </c>
      <c r="H34" s="11" t="inlineStr">
        <is>
          <t>mensuelle</t>
        </is>
      </c>
      <c r="I34" s="11" t="inlineStr">
        <is>
          <t>indice</t>
        </is>
      </c>
      <c r="J34" s="11" t="inlineStr">
        <is>
          <t>certifie</t>
        </is>
      </c>
      <c r="K34" s="11" t="n">
        <v>0.5</v>
      </c>
      <c r="L34" s="11" t="inlineStr">
        <is>
          <t>libre</t>
        </is>
      </c>
      <c r="M34" s="11" t="inlineStr">
        <is>
          <t>API + CSV</t>
        </is>
      </c>
      <c r="N34" s="11" t="inlineStr">
        <is>
          <t>https://data-explorer.oecd.org</t>
        </is>
      </c>
      <c r="O34" s="11" t="n">
        <v>1176</v>
      </c>
      <c r="P34" s="11" t="inlineStr">
        <is>
          <t>2023-01 → 2026-06</t>
        </is>
      </c>
      <c r="Q34" s="11" t="n">
        <v>132</v>
      </c>
    </row>
    <row r="35">
      <c r="A35" s="11" t="inlineStr">
        <is>
          <t>T10</t>
        </is>
      </c>
      <c r="B35" s="11" t="inlineStr">
        <is>
          <t>Socle transversal</t>
        </is>
      </c>
      <c r="C35" s="11" t="inlineStr">
        <is>
          <t>Part des industriels déclarant la demande comme facteur limitant (UE)</t>
        </is>
      </c>
      <c r="D35" s="11" t="inlineStr">
        <is>
          <t>QV0</t>
        </is>
      </c>
      <c r="E35" s="11" t="inlineStr">
        <is>
          <t>Eurostat — statistiques conjoncturelles et structurelles</t>
        </is>
      </c>
      <c r="F35" s="11" t="inlineStr">
        <is>
          <t>Commission européenne</t>
        </is>
      </c>
      <c r="G35" s="11" t="inlineStr">
        <is>
          <t>hard</t>
        </is>
      </c>
      <c r="H35" s="11" t="inlineStr">
        <is>
          <t>trimestrielle</t>
        </is>
      </c>
      <c r="I35" s="11" t="inlineStr">
        <is>
          <t>pourcentage</t>
        </is>
      </c>
      <c r="J35" s="11" t="inlineStr">
        <is>
          <t>certifie</t>
        </is>
      </c>
      <c r="K35" s="11" t="n"/>
      <c r="L35" s="11" t="inlineStr">
        <is>
          <t>libre</t>
        </is>
      </c>
      <c r="M35" s="11" t="inlineStr">
        <is>
          <t>API + CSV</t>
        </is>
      </c>
      <c r="N35" s="11" t="inlineStr">
        <is>
          <t>https://ec.europa.eu/eurostat/data/database</t>
        </is>
      </c>
      <c r="O35" s="11" t="n">
        <v>408</v>
      </c>
      <c r="P35" s="11" t="inlineStr">
        <is>
          <t>2014-T1 → 2026-T3</t>
        </is>
      </c>
      <c r="Q35" s="11" t="n">
        <v>132</v>
      </c>
    </row>
    <row r="36">
      <c r="A36" s="11" t="inlineStr">
        <is>
          <t>T11</t>
        </is>
      </c>
      <c r="B36" s="11" t="inlineStr">
        <is>
          <t>Socle transversal</t>
        </is>
      </c>
      <c r="C36" s="11" t="inlineStr">
        <is>
          <t>Production manufacturière suisse (NACE C)</t>
        </is>
      </c>
      <c r="D36" s="11" t="inlineStr">
        <is>
          <t>QV0</t>
        </is>
      </c>
      <c r="E36" s="11" t="inlineStr">
        <is>
          <t>Eurostat — statistiques conjoncturelles et structurelles</t>
        </is>
      </c>
      <c r="F36" s="11" t="inlineStr">
        <is>
          <t>Commission européenne</t>
        </is>
      </c>
      <c r="G36" s="11" t="inlineStr">
        <is>
          <t>hard</t>
        </is>
      </c>
      <c r="H36" s="11" t="inlineStr">
        <is>
          <t>mensuelle</t>
        </is>
      </c>
      <c r="I36" s="11" t="inlineStr">
        <is>
          <t>indice</t>
        </is>
      </c>
      <c r="J36" s="11" t="inlineStr">
        <is>
          <t>certifie</t>
        </is>
      </c>
      <c r="K36" s="11" t="n">
        <v>5</v>
      </c>
      <c r="L36" s="11" t="inlineStr">
        <is>
          <t>libre</t>
        </is>
      </c>
      <c r="M36" s="11" t="inlineStr">
        <is>
          <t>API + CSV</t>
        </is>
      </c>
      <c r="N36" s="11" t="inlineStr">
        <is>
          <t>https://ec.europa.eu/eurostat/data/database</t>
        </is>
      </c>
      <c r="O36" s="11" t="n">
        <v>1242</v>
      </c>
      <c r="P36" s="11" t="inlineStr">
        <is>
          <t>2014-01 → 2026-06</t>
        </is>
      </c>
      <c r="Q36" s="11" t="n">
        <v>132</v>
      </c>
    </row>
    <row r="37">
      <c r="A37" s="15" t="inlineStr">
        <is>
          <t>T12</t>
        </is>
      </c>
      <c r="B37" s="15" t="inlineStr">
        <is>
          <t>Socle transversal</t>
        </is>
      </c>
      <c r="C37" s="15" t="inlineStr">
        <is>
          <t>Brevets en technique de surface et revêtement (OMPI)</t>
        </is>
      </c>
      <c r="D37" s="15" t="n"/>
      <c r="E37" s="15" t="inlineStr">
        <is>
          <t>Indicateurs de brevets par domaine technologique</t>
        </is>
      </c>
      <c r="F37" s="15" t="inlineStr">
        <is>
          <t>OMPI</t>
        </is>
      </c>
      <c r="G37" s="15" t="inlineStr">
        <is>
          <t>hard</t>
        </is>
      </c>
      <c r="H37" s="15" t="inlineStr">
        <is>
          <t>annuelle</t>
        </is>
      </c>
      <c r="I37" s="15" t="inlineStr">
        <is>
          <t>nombre</t>
        </is>
      </c>
      <c r="J37" s="15" t="inlineStr">
        <is>
          <t>restreint</t>
        </is>
      </c>
      <c r="K37" s="15" t="n"/>
      <c r="L37" s="15" t="inlineStr">
        <is>
          <t>libre</t>
        </is>
      </c>
      <c r="M37" s="15" t="inlineStr">
        <is>
          <t>ZIP / CSV</t>
        </is>
      </c>
      <c r="N37" s="15" t="inlineStr">
        <is>
          <t>https://www.wipo.int/en/web/ip-statistics</t>
        </is>
      </c>
      <c r="O37" s="15" t="n">
        <v>161</v>
      </c>
      <c r="P37" s="15" t="inlineStr">
        <is>
          <t>2000 → 2022</t>
        </is>
      </c>
      <c r="Q37" s="15" t="n">
        <v>113</v>
      </c>
    </row>
    <row r="38">
      <c r="A38" s="15" t="inlineStr">
        <is>
          <t>T13</t>
        </is>
      </c>
      <c r="B38" s="15" t="inlineStr">
        <is>
          <t>Socle transversal</t>
        </is>
      </c>
      <c r="C38" s="15" t="inlineStr">
        <is>
          <t>Brevets en machines-outils (OMPI)</t>
        </is>
      </c>
      <c r="D38" s="15" t="n"/>
      <c r="E38" s="15" t="inlineStr">
        <is>
          <t>Indicateurs de brevets par domaine technologique</t>
        </is>
      </c>
      <c r="F38" s="15" t="inlineStr">
        <is>
          <t>OMPI</t>
        </is>
      </c>
      <c r="G38" s="15" t="inlineStr">
        <is>
          <t>hard</t>
        </is>
      </c>
      <c r="H38" s="15" t="inlineStr">
        <is>
          <t>annuelle</t>
        </is>
      </c>
      <c r="I38" s="15" t="inlineStr">
        <is>
          <t>nombre</t>
        </is>
      </c>
      <c r="J38" s="15" t="inlineStr">
        <is>
          <t>restreint</t>
        </is>
      </c>
      <c r="K38" s="15" t="n"/>
      <c r="L38" s="15" t="inlineStr">
        <is>
          <t>libre</t>
        </is>
      </c>
      <c r="M38" s="15" t="inlineStr">
        <is>
          <t>ZIP / CSV</t>
        </is>
      </c>
      <c r="N38" s="15" t="inlineStr">
        <is>
          <t>https://www.wipo.int/en/web/ip-statistics</t>
        </is>
      </c>
      <c r="O38" s="15" t="n">
        <v>161</v>
      </c>
      <c r="P38" s="15" t="inlineStr">
        <is>
          <t>2000 → 2022</t>
        </is>
      </c>
      <c r="Q38" s="15" t="n">
        <v>113</v>
      </c>
    </row>
    <row r="39">
      <c r="A39" s="11" t="inlineStr">
        <is>
          <t>T2</t>
        </is>
      </c>
      <c r="B39" s="11" t="inlineStr">
        <is>
          <t>Socle transversal</t>
        </is>
      </c>
      <c r="C39" s="11" t="inlineStr">
        <is>
          <t>Taux de change CHF/USD et CHF/EUR</t>
        </is>
      </c>
      <c r="D39" s="11" t="inlineStr">
        <is>
          <t>QV0</t>
        </is>
      </c>
      <c r="E39" s="11" t="inlineStr">
        <is>
          <t>Taux de change de référence</t>
        </is>
      </c>
      <c r="F39" s="11" t="inlineStr">
        <is>
          <t>Banque nationale suisse</t>
        </is>
      </c>
      <c r="G39" s="11" t="inlineStr">
        <is>
          <t>hard</t>
        </is>
      </c>
      <c r="H39" s="11" t="inlineStr">
        <is>
          <t>mensuelle</t>
        </is>
      </c>
      <c r="I39" s="11" t="inlineStr">
        <is>
          <t>taux</t>
        </is>
      </c>
      <c r="J39" s="11" t="inlineStr">
        <is>
          <t>certifie</t>
        </is>
      </c>
      <c r="K39" s="11" t="n">
        <v>7</v>
      </c>
      <c r="L39" s="11" t="inlineStr">
        <is>
          <t>libre</t>
        </is>
      </c>
      <c r="M39" s="11" t="inlineStr">
        <is>
          <t>API / CSV</t>
        </is>
      </c>
      <c r="N39" s="11" t="inlineStr">
        <is>
          <t>https://data.snb.ch</t>
        </is>
      </c>
      <c r="O39" s="11" t="n">
        <v>3354</v>
      </c>
      <c r="P39" s="11" t="inlineStr">
        <is>
          <t>2023-01 → 2026-07</t>
        </is>
      </c>
      <c r="Q39" s="11" t="n">
        <v>132</v>
      </c>
    </row>
    <row r="40">
      <c r="A40" s="11" t="inlineStr">
        <is>
          <t>T3</t>
        </is>
      </c>
      <c r="B40" s="11" t="inlineStr">
        <is>
          <t>Socle transversal</t>
        </is>
      </c>
      <c r="C40" s="11" t="inlineStr">
        <is>
          <t>Commerce mondial de marchandises (volume)</t>
        </is>
      </c>
      <c r="D40" s="11" t="inlineStr">
        <is>
          <t>QV0</t>
        </is>
      </c>
      <c r="E40" s="11" t="inlineStr">
        <is>
          <t>World Trade Monitor</t>
        </is>
      </c>
      <c r="F40" s="11" t="inlineStr">
        <is>
          <t>CPB Netherlands Bureau for Economic Policy Analysis</t>
        </is>
      </c>
      <c r="G40" s="11" t="inlineStr">
        <is>
          <t>hard</t>
        </is>
      </c>
      <c r="H40" s="11" t="inlineStr">
        <is>
          <t>mensuelle</t>
        </is>
      </c>
      <c r="I40" s="11" t="inlineStr">
        <is>
          <t>indice</t>
        </is>
      </c>
      <c r="J40" s="11" t="inlineStr">
        <is>
          <t>certifie</t>
        </is>
      </c>
      <c r="K40" s="11" t="n">
        <v>3</v>
      </c>
      <c r="L40" s="11" t="inlineStr">
        <is>
          <t>libre</t>
        </is>
      </c>
      <c r="M40" s="11" t="inlineStr">
        <is>
          <t>Excel</t>
        </is>
      </c>
      <c r="N40" s="11" t="inlineStr">
        <is>
          <t>https://www.cpb.nl/en/worldtrademonitor/latest</t>
        </is>
      </c>
      <c r="O40" s="11" t="n">
        <v>205</v>
      </c>
      <c r="P40" s="11" t="inlineStr">
        <is>
          <t>2023-01 → 2026-05</t>
        </is>
      </c>
      <c r="Q40" s="11" t="n">
        <v>133</v>
      </c>
    </row>
    <row r="41">
      <c r="A41" s="11" t="inlineStr">
        <is>
          <t>T4</t>
        </is>
      </c>
      <c r="B41" s="11" t="inlineStr">
        <is>
          <t>Socle transversal</t>
        </is>
      </c>
      <c r="C41" s="11" t="inlineStr">
        <is>
          <t>Croissance du PIB mondial</t>
        </is>
      </c>
      <c r="D41" s="11" t="inlineStr">
        <is>
          <t>QV0</t>
        </is>
      </c>
      <c r="E41" s="11" t="inlineStr">
        <is>
          <t>World Economic Outlook</t>
        </is>
      </c>
      <c r="F41" s="11" t="inlineStr">
        <is>
          <t>Fonds monétaire international</t>
        </is>
      </c>
      <c r="G41" s="11" t="inlineStr">
        <is>
          <t>hard</t>
        </is>
      </c>
      <c r="H41" s="11" t="inlineStr">
        <is>
          <t>semestrielle</t>
        </is>
      </c>
      <c r="I41" s="11" t="inlineStr">
        <is>
          <t>pourcentage</t>
        </is>
      </c>
      <c r="J41" s="11" t="inlineStr">
        <is>
          <t>certifie</t>
        </is>
      </c>
      <c r="K41" s="11" t="n"/>
      <c r="L41" s="11" t="inlineStr">
        <is>
          <t>libre</t>
        </is>
      </c>
      <c r="M41" s="11" t="inlineStr">
        <is>
          <t>CSV</t>
        </is>
      </c>
      <c r="N41" s="11" t="inlineStr">
        <is>
          <t>https://www.imf.org/en/Publications/WEO</t>
        </is>
      </c>
      <c r="O41" s="11" t="n">
        <v>96</v>
      </c>
      <c r="P41" s="11" t="inlineStr">
        <is>
          <t>2023 → 2025</t>
        </is>
      </c>
      <c r="Q41" s="11" t="n">
        <v>132</v>
      </c>
    </row>
    <row r="42">
      <c r="A42" s="11" t="inlineStr">
        <is>
          <t>T5</t>
        </is>
      </c>
      <c r="B42" s="11" t="inlineStr">
        <is>
          <t>Socle transversal</t>
        </is>
      </c>
      <c r="C42" s="11" t="inlineStr">
        <is>
          <t>Attentes de production de l'industrie européenne (solde d'opinion à 3 mois)</t>
        </is>
      </c>
      <c r="D42" s="11" t="inlineStr">
        <is>
          <t>QV0</t>
        </is>
      </c>
      <c r="E42" s="11" t="inlineStr">
        <is>
          <t>Eurostat — statistiques conjoncturelles et structurelles</t>
        </is>
      </c>
      <c r="F42" s="11" t="inlineStr">
        <is>
          <t>Commission européenne</t>
        </is>
      </c>
      <c r="G42" s="11" t="inlineStr">
        <is>
          <t>hard</t>
        </is>
      </c>
      <c r="H42" s="11" t="inlineStr">
        <is>
          <t>mensuelle</t>
        </is>
      </c>
      <c r="I42" s="11" t="inlineStr">
        <is>
          <t>solde d'opinion</t>
        </is>
      </c>
      <c r="J42" s="11" t="inlineStr">
        <is>
          <t>certifie</t>
        </is>
      </c>
      <c r="K42" s="11" t="n"/>
      <c r="L42" s="11" t="inlineStr">
        <is>
          <t>libre</t>
        </is>
      </c>
      <c r="M42" s="11" t="inlineStr">
        <is>
          <t>API + CSV</t>
        </is>
      </c>
      <c r="N42" s="11" t="inlineStr">
        <is>
          <t>https://ec.europa.eu/eurostat/data/database</t>
        </is>
      </c>
      <c r="O42" s="11" t="n">
        <v>1525</v>
      </c>
      <c r="P42" s="11" t="inlineStr">
        <is>
          <t>2014-01 → 2026-07</t>
        </is>
      </c>
      <c r="Q42" s="11" t="n">
        <v>132</v>
      </c>
    </row>
    <row r="43">
      <c r="A43" s="11" t="inlineStr">
        <is>
          <t>T6</t>
        </is>
      </c>
      <c r="B43" s="11" t="inlineStr">
        <is>
          <t>Socle transversal</t>
        </is>
      </c>
      <c r="C43" s="11" t="inlineStr">
        <is>
          <t>Baromètre conjoncturel KOF (Suisse)</t>
        </is>
      </c>
      <c r="D43" s="11" t="inlineStr">
        <is>
          <t>QV0</t>
        </is>
      </c>
      <c r="E43" s="11" t="inlineStr">
        <is>
          <t>Baromètre conjoncturel KOF</t>
        </is>
      </c>
      <c r="F43" s="11" t="inlineStr">
        <is>
          <t>KOF ETH Zurich</t>
        </is>
      </c>
      <c r="G43" s="11" t="inlineStr">
        <is>
          <t>hard</t>
        </is>
      </c>
      <c r="H43" s="11" t="inlineStr">
        <is>
          <t>mensuelle</t>
        </is>
      </c>
      <c r="I43" s="11" t="inlineStr">
        <is>
          <t>indice</t>
        </is>
      </c>
      <c r="J43" s="11" t="inlineStr">
        <is>
          <t>certifie</t>
        </is>
      </c>
      <c r="K43" s="11" t="n"/>
      <c r="L43" s="11" t="inlineStr">
        <is>
          <t>libre</t>
        </is>
      </c>
      <c r="M43" s="11" t="inlineStr">
        <is>
          <t>API / CSV</t>
        </is>
      </c>
      <c r="N43" s="11" t="inlineStr">
        <is>
          <t>https://data.kof.ethz.ch</t>
        </is>
      </c>
      <c r="O43" s="11" t="n">
        <v>688</v>
      </c>
      <c r="P43" s="11" t="inlineStr">
        <is>
          <t>2023-01 → 2026-07</t>
        </is>
      </c>
      <c r="Q43" s="11" t="n">
        <v>132</v>
      </c>
    </row>
    <row r="44">
      <c r="A44" s="11" t="inlineStr">
        <is>
          <t>T7</t>
        </is>
      </c>
      <c r="B44" s="11" t="inlineStr">
        <is>
          <t>Socle transversal</t>
        </is>
      </c>
      <c r="C44" s="11" t="inlineStr">
        <is>
          <t>Production de l'usinage et du traitement des métaux UE (NACE C25.6)</t>
        </is>
      </c>
      <c r="D44" s="11" t="inlineStr">
        <is>
          <t>QV0</t>
        </is>
      </c>
      <c r="E44" s="11" t="inlineStr">
        <is>
          <t>Eurostat — statistiques conjoncturelles et structurelles</t>
        </is>
      </c>
      <c r="F44" s="11" t="inlineStr">
        <is>
          <t>Commission européenne</t>
        </is>
      </c>
      <c r="G44" s="11" t="inlineStr">
        <is>
          <t>hard</t>
        </is>
      </c>
      <c r="H44" s="11" t="inlineStr">
        <is>
          <t>mensuelle</t>
        </is>
      </c>
      <c r="I44" s="11" t="inlineStr">
        <is>
          <t>indice</t>
        </is>
      </c>
      <c r="J44" s="11" t="inlineStr">
        <is>
          <t>certifie</t>
        </is>
      </c>
      <c r="K44" s="11" t="n"/>
      <c r="L44" s="11" t="inlineStr">
        <is>
          <t>libre</t>
        </is>
      </c>
      <c r="M44" s="11" t="inlineStr">
        <is>
          <t>API + CSV</t>
        </is>
      </c>
      <c r="N44" s="11" t="inlineStr">
        <is>
          <t>https://ec.europa.eu/eurostat/data/database</t>
        </is>
      </c>
      <c r="O44" s="11" t="n">
        <v>1452</v>
      </c>
      <c r="P44" s="11" t="inlineStr">
        <is>
          <t>2014-01 → 2026-06</t>
        </is>
      </c>
      <c r="Q44" s="11" t="n">
        <v>132</v>
      </c>
    </row>
    <row r="45">
      <c r="A45" s="11" t="inlineStr">
        <is>
          <t>T8</t>
        </is>
      </c>
      <c r="B45" s="11" t="inlineStr">
        <is>
          <t>Socle transversal</t>
        </is>
      </c>
      <c r="C45" s="11" t="inlineStr">
        <is>
          <t>État du carnet de commandes de l'industrie UE (enquête de conjoncture)</t>
        </is>
      </c>
      <c r="D45" s="11" t="inlineStr">
        <is>
          <t>QV0</t>
        </is>
      </c>
      <c r="E45" s="11" t="inlineStr">
        <is>
          <t>Eurostat — statistiques conjoncturelles et structurelles</t>
        </is>
      </c>
      <c r="F45" s="11" t="inlineStr">
        <is>
          <t>Commission européenne</t>
        </is>
      </c>
      <c r="G45" s="11" t="inlineStr">
        <is>
          <t>hard</t>
        </is>
      </c>
      <c r="H45" s="11" t="inlineStr">
        <is>
          <t>mensuelle</t>
        </is>
      </c>
      <c r="I45" s="11" t="inlineStr">
        <is>
          <t>solde</t>
        </is>
      </c>
      <c r="J45" s="11" t="inlineStr">
        <is>
          <t>certifie</t>
        </is>
      </c>
      <c r="K45" s="11" t="n"/>
      <c r="L45" s="11" t="inlineStr">
        <is>
          <t>libre</t>
        </is>
      </c>
      <c r="M45" s="11" t="inlineStr">
        <is>
          <t>API + CSV</t>
        </is>
      </c>
      <c r="N45" s="11" t="inlineStr">
        <is>
          <t>https://ec.europa.eu/eurostat/data/database</t>
        </is>
      </c>
      <c r="O45" s="11" t="n">
        <v>1251</v>
      </c>
      <c r="P45" s="11" t="inlineStr">
        <is>
          <t>2014-01 → 2026-07</t>
        </is>
      </c>
      <c r="Q45" s="11" t="n">
        <v>132</v>
      </c>
    </row>
    <row r="46">
      <c r="A46" s="11" t="inlineStr">
        <is>
          <t>T9</t>
        </is>
      </c>
      <c r="B46" s="11" t="inlineStr">
        <is>
          <t>Socle transversal</t>
        </is>
      </c>
      <c r="C46" s="11" t="inlineStr">
        <is>
          <t>Taux d'utilisation des capacités de l'industrie UE</t>
        </is>
      </c>
      <c r="D46" s="11" t="inlineStr">
        <is>
          <t>QV0</t>
        </is>
      </c>
      <c r="E46" s="11" t="inlineStr">
        <is>
          <t>Eurostat — statistiques conjoncturelles et structurelles</t>
        </is>
      </c>
      <c r="F46" s="11" t="inlineStr">
        <is>
          <t>Commission européenne</t>
        </is>
      </c>
      <c r="G46" s="11" t="inlineStr">
        <is>
          <t>hard</t>
        </is>
      </c>
      <c r="H46" s="11" t="inlineStr">
        <is>
          <t>trimestrielle</t>
        </is>
      </c>
      <c r="I46" s="11" t="inlineStr">
        <is>
          <t>pourcentage</t>
        </is>
      </c>
      <c r="J46" s="11" t="inlineStr">
        <is>
          <t>certifie</t>
        </is>
      </c>
      <c r="K46" s="11" t="n"/>
      <c r="L46" s="11" t="inlineStr">
        <is>
          <t>libre</t>
        </is>
      </c>
      <c r="M46" s="11" t="inlineStr">
        <is>
          <t>API + CSV</t>
        </is>
      </c>
      <c r="N46" s="11" t="inlineStr">
        <is>
          <t>https://ec.europa.eu/eurostat/data/database</t>
        </is>
      </c>
      <c r="O46" s="11" t="n">
        <v>408</v>
      </c>
      <c r="P46" s="11" t="inlineStr">
        <is>
          <t>2014-T1 → 2026-T3</t>
        </is>
      </c>
      <c r="Q46" s="11" t="n">
        <v>132</v>
      </c>
    </row>
  </sheetData>
  <autoFilter ref="A1:Q46"/>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6" t="inlineStr">
        <is>
          <t>Aérospatial</t>
        </is>
      </c>
      <c r="B2" s="16" t="inlineStr">
        <is>
          <t>QV1</t>
        </is>
      </c>
      <c r="C2" s="16" t="inlineStr">
        <is>
          <t>Santé structurelle</t>
        </is>
      </c>
      <c r="D2" s="16" t="inlineStr">
        <is>
          <t>Les carnets de commandes et les cadences de livraison des avionneurs assurent-ils une charge pluriannuelle à la chaîne de sous-traitance ?</t>
        </is>
      </c>
      <c r="E2" s="16" t="inlineStr">
        <is>
          <t>Cycle long : le carnet donne une visibilité de plusieurs années, ce qui inverse la logique de veille. On surveille les révisions de cadence annoncées, non les retournements de demande.</t>
        </is>
      </c>
      <c r="F2" s="16" t="inlineStr">
        <is>
          <t>dominante</t>
        </is>
      </c>
      <c r="G2" s="16" t="n">
        <v>2</v>
      </c>
      <c r="H2" s="16" t="n">
        <v>2</v>
      </c>
    </row>
    <row r="3">
      <c r="A3" s="17" t="inlineStr">
        <is>
          <t>Aérospatial</t>
        </is>
      </c>
      <c r="B3" s="17" t="inlineStr">
        <is>
          <t>QV2</t>
        </is>
      </c>
      <c r="C3" s="17" t="inlineStr">
        <is>
          <t>Demande et débouchés</t>
        </is>
      </c>
      <c r="D3" s="17" t="inlineStr">
        <is>
          <t>La demande de transport aérien soutient-elle le renouvellement des flottes ?</t>
        </is>
      </c>
      <c r="E3" s="17" t="inlineStr">
        <is>
          <t>Le trafic passagers précède les commandes d'appareils de plusieurs trimestres : c'est l'indicateur avancé du cycle civil, en amont du carnet de commandes.</t>
        </is>
      </c>
      <c r="F3" s="17" t="inlineStr">
        <is>
          <t>significative</t>
        </is>
      </c>
      <c r="G3" s="17" t="n">
        <v>4</v>
      </c>
      <c r="H3" s="17" t="n">
        <v>3</v>
      </c>
    </row>
    <row r="4">
      <c r="A4" s="17" t="inlineStr">
        <is>
          <t>Aérospatial</t>
        </is>
      </c>
      <c r="B4" s="17" t="inlineStr">
        <is>
          <t>QV3</t>
        </is>
      </c>
      <c r="C4" s="17" t="inlineStr">
        <is>
          <t>Dynamique géographique</t>
        </is>
      </c>
      <c r="D4" s="17" t="inlineStr">
        <is>
          <t>Quels États accèdent à une capacité spatiale autonome ?</t>
        </is>
      </c>
      <c r="E4" s="17" t="inlineStr">
        <is>
          <t>L'entrée de nouveaux acteurs nationaux ouvre des chaînes d'approvisionnement nouvelles, mais souvent captives pour raisons de souveraineté. L'opportunité est réelle et l'accès contraint.</t>
        </is>
      </c>
      <c r="F4" s="17" t="inlineStr">
        <is>
          <t>significative</t>
        </is>
      </c>
      <c r="G4" s="17" t="n">
        <v>1</v>
      </c>
      <c r="H4" s="17" t="n">
        <v>1</v>
      </c>
    </row>
    <row r="5">
      <c r="A5" s="16" t="inlineStr">
        <is>
          <t>Aérospatial</t>
        </is>
      </c>
      <c r="B5" s="16" t="inlineStr">
        <is>
          <t>QV4</t>
        </is>
      </c>
      <c r="C5" s="16" t="inlineStr">
        <is>
          <t>Dynamique technologique</t>
        </is>
      </c>
      <c r="D5" s="16" t="inlineStr">
        <is>
          <t>Quelles ruptures techniques — lanceurs réutilisables, constellations, propulsion alternative — modifient les volumes et les tolérances demandés ?</t>
        </is>
      </c>
      <c r="E5" s="16"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6" t="inlineStr">
        <is>
          <t>dominante</t>
        </is>
      </c>
      <c r="G5" s="16" t="n">
        <v>0</v>
      </c>
      <c r="H5" s="16" t="n">
        <v>0</v>
      </c>
    </row>
    <row r="6">
      <c r="A6" s="16" t="inlineStr">
        <is>
          <t>Aérospatial</t>
        </is>
      </c>
      <c r="B6" s="16" t="inlineStr">
        <is>
          <t>QV5</t>
        </is>
      </c>
      <c r="C6" s="16" t="inlineStr">
        <is>
          <t>Impulsions publiques</t>
        </is>
      </c>
      <c r="D6" s="16" t="inlineStr">
        <is>
          <t>Les budgets de défense et les budgets spatiaux publics progressent-ils, et sur quels programmes ?</t>
        </is>
      </c>
      <c r="E6" s="16" t="inlineStr">
        <is>
          <t>La dépense publique EST la demande : défense et spatial institutionnel sont des marchés budgétaires. Une décision budgétaire n'est pas un signal indirect, c'est une commande à venir.</t>
        </is>
      </c>
      <c r="F6" s="16" t="inlineStr">
        <is>
          <t>dominante</t>
        </is>
      </c>
      <c r="G6" s="16" t="n">
        <v>3</v>
      </c>
      <c r="H6" s="16" t="n">
        <v>2</v>
      </c>
    </row>
    <row r="7">
      <c r="A7" s="16" t="inlineStr">
        <is>
          <t>Automobile</t>
        </is>
      </c>
      <c r="B7" s="16" t="inlineStr">
        <is>
          <t>QV1</t>
        </is>
      </c>
      <c r="C7" s="16" t="inlineStr">
        <is>
          <t>Santé structurelle</t>
        </is>
      </c>
      <c r="D7" s="16" t="inlineStr">
        <is>
          <t>La production automobile européenne recule-t-elle plus vite que l'industrie manufacturière dans son ensemble ?</t>
        </is>
      </c>
      <c r="E7" s="16"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6" t="inlineStr">
        <is>
          <t>dominante</t>
        </is>
      </c>
      <c r="G7" s="16" t="n">
        <v>3</v>
      </c>
      <c r="H7" s="16" t="n">
        <v>3</v>
      </c>
    </row>
    <row r="8">
      <c r="A8" s="16" t="inlineStr">
        <is>
          <t>Automobile</t>
        </is>
      </c>
      <c r="B8" s="16" t="inlineStr">
        <is>
          <t>QV2</t>
        </is>
      </c>
      <c r="C8" s="16" t="inlineStr">
        <is>
          <t>Demande et débouchés</t>
        </is>
      </c>
      <c r="D8" s="16" t="inlineStr">
        <is>
          <t>Les immatriculations et les flux de pièces indiquent-ils une reprise ou une contraction de la demande adressable ?</t>
        </is>
      </c>
      <c r="E8" s="16"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6" t="inlineStr">
        <is>
          <t>dominante</t>
        </is>
      </c>
      <c r="G8" s="16" t="n">
        <v>4</v>
      </c>
      <c r="H8" s="16" t="n">
        <v>4</v>
      </c>
    </row>
    <row r="9">
      <c r="A9" s="17" t="inlineStr">
        <is>
          <t>Automobile</t>
        </is>
      </c>
      <c r="B9" s="17" t="inlineStr">
        <is>
          <t>QV3</t>
        </is>
      </c>
      <c r="C9" s="17" t="inlineStr">
        <is>
          <t>Dynamique géographique</t>
        </is>
      </c>
      <c r="D9" s="17" t="inlineStr">
        <is>
          <t>Le centre de gravité de la production automobile se déplace-t-il hors d'Europe ?</t>
        </is>
      </c>
      <c r="E9" s="17" t="inlineStr">
        <is>
          <t>La délocalisation de l'assemblage final entraîne celle des chaînes d'approvisionnement de rang 1 et 2. Menace structurelle sur l'avantage de proximité géographique du sous-traitant européen.</t>
        </is>
      </c>
      <c r="F9" s="17" t="inlineStr">
        <is>
          <t>significative</t>
        </is>
      </c>
      <c r="G9" s="17" t="n">
        <v>2</v>
      </c>
      <c r="H9" s="17" t="n">
        <v>2</v>
      </c>
    </row>
    <row r="10">
      <c r="A10" s="16" t="inlineStr">
        <is>
          <t>Automobile</t>
        </is>
      </c>
      <c r="B10" s="16" t="inlineStr">
        <is>
          <t>QV4</t>
        </is>
      </c>
      <c r="C10" s="16" t="inlineStr">
        <is>
          <t>Dynamique technologique</t>
        </is>
      </c>
      <c r="D10" s="16" t="inlineStr">
        <is>
          <t>L'électrification recompose-t-elle la demande de composants mécaniques, et à quel rythme selon les marchés ?</t>
        </is>
      </c>
      <c r="E10" s="16"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6" t="inlineStr">
        <is>
          <t>dominante</t>
        </is>
      </c>
      <c r="G10" s="16" t="n">
        <v>2</v>
      </c>
      <c r="H10" s="16" t="n">
        <v>2</v>
      </c>
    </row>
    <row r="11">
      <c r="A11" s="16" t="inlineStr">
        <is>
          <t>Automobile</t>
        </is>
      </c>
      <c r="B11" s="16" t="inlineStr">
        <is>
          <t>QV5</t>
        </is>
      </c>
      <c r="C11" s="16" t="inlineStr">
        <is>
          <t>Impulsions publiques</t>
        </is>
      </c>
      <c r="D11" s="16" t="inlineStr">
        <is>
          <t>Quelles décisions réglementaires — normes d'émission, calendrier d'interdiction du thermique, dispositifs d'incitation — modifient la composition de la demande ?</t>
        </is>
      </c>
      <c r="E11" s="16" t="inlineStr">
        <is>
          <t>L'action publique ne finance ni n'achète : elle fixe le calendrier de la substitution technologique. Elle agit sur la composition de la demande, non sur son niveau — ce qui explique qu'aucune série statistique budgétaire ne la capte.</t>
        </is>
      </c>
      <c r="F11" s="16" t="inlineStr">
        <is>
          <t>dominante</t>
        </is>
      </c>
      <c r="G11" s="16" t="n">
        <v>0</v>
      </c>
      <c r="H11" s="16" t="n">
        <v>0</v>
      </c>
    </row>
    <row r="12">
      <c r="A12" s="16" t="inlineStr">
        <is>
          <t>Horlogerie</t>
        </is>
      </c>
      <c r="B12" s="16" t="inlineStr">
        <is>
          <t>QV1</t>
        </is>
      </c>
      <c r="C12" s="16" t="inlineStr">
        <is>
          <t>Santé structurelle</t>
        </is>
      </c>
      <c r="D12" s="16" t="inlineStr">
        <is>
          <t>L'appareil productif horloger suisse se maintient-il en emplois et en établissements, indépendamment du niveau des exportations en valeur ?</t>
        </is>
      </c>
      <c r="E12" s="16" t="inlineStr">
        <is>
          <t>La branche peut exporter davantage en valeur tout en perdant des établissements : la montée en gamme masque l'érosion du tissu de sous-traitance, qui est précisément le segment concerné par le cas d'illustration.</t>
        </is>
      </c>
      <c r="F12" s="16" t="inlineStr">
        <is>
          <t>dominante</t>
        </is>
      </c>
      <c r="G12" s="16" t="n">
        <v>5</v>
      </c>
      <c r="H12" s="16" t="n">
        <v>4</v>
      </c>
    </row>
    <row r="13">
      <c r="A13" s="16" t="inlineStr">
        <is>
          <t>Horlogerie</t>
        </is>
      </c>
      <c r="B13" s="16" t="inlineStr">
        <is>
          <t>QV2</t>
        </is>
      </c>
      <c r="C13" s="16" t="inlineStr">
        <is>
          <t>Demande et débouchés</t>
        </is>
      </c>
      <c r="D13" s="16" t="inlineStr">
        <is>
          <t>Vers quels marchés de destination les exportations horlogères se déplacent-elles, et à quel rythme ?</t>
        </is>
      </c>
      <c r="E13" s="16" t="inlineStr">
        <is>
          <t>Demande finale de luxe, très concentrée géographiquement et sensible aux chocs de change et de droits de douane. Elle se transmet à la sous-traitance avec un décalage de quelques mois.</t>
        </is>
      </c>
      <c r="F13" s="16" t="inlineStr">
        <is>
          <t>dominante</t>
        </is>
      </c>
      <c r="G13" s="16" t="n">
        <v>4</v>
      </c>
      <c r="H13" s="16" t="n">
        <v>4</v>
      </c>
    </row>
    <row r="14">
      <c r="A14" s="17" t="inlineStr">
        <is>
          <t>Horlogerie</t>
        </is>
      </c>
      <c r="B14" s="17" t="inlineStr">
        <is>
          <t>QV3</t>
        </is>
      </c>
      <c r="C14" s="17" t="inlineStr">
        <is>
          <t>Dynamique géographique</t>
        </is>
      </c>
      <c r="D14" s="17" t="inlineStr">
        <is>
          <t>La production horlogère reste-t-elle concentrée en Suisse, ou des pôles concurrents captent-ils des parts du commerce mondial d'articles d'horlogerie ?</t>
        </is>
      </c>
      <c r="E14" s="17" t="inlineStr">
        <is>
          <t>Concurrence de substitution par le milieu de gamme asiatique. Menace lente mais structurelle sur les volumes de sous-traitance, invisible dans les seules statistiques suisses.</t>
        </is>
      </c>
      <c r="F14" s="17" t="inlineStr">
        <is>
          <t>significative</t>
        </is>
      </c>
      <c r="G14" s="17" t="n">
        <v>1</v>
      </c>
      <c r="H14" s="17" t="n">
        <v>1</v>
      </c>
    </row>
    <row r="15">
      <c r="A15" s="17" t="inlineStr">
        <is>
          <t>Horlogerie</t>
        </is>
      </c>
      <c r="B15" s="17" t="inlineStr">
        <is>
          <t>QV4</t>
        </is>
      </c>
      <c r="C15" s="17" t="inlineStr">
        <is>
          <t>Dynamique technologique</t>
        </is>
      </c>
      <c r="D15" s="17" t="inlineStr">
        <is>
          <t>La montre connectée et les nouveaux matériaux recomposent-ils la demande de composants mécaniques ?</t>
        </is>
      </c>
      <c r="E15" s="17" t="inlineStr">
        <is>
          <t>Substitution technologique partielle : le produit connecté ne remplace pas le luxe mécanique mais comprime l'entrée de gamme, segment à fort volume de pièces usinées.</t>
        </is>
      </c>
      <c r="F15" s="17" t="inlineStr">
        <is>
          <t>significative</t>
        </is>
      </c>
      <c r="G15" s="17" t="n">
        <v>1</v>
      </c>
      <c r="H15" s="17" t="n">
        <v>1</v>
      </c>
    </row>
    <row r="16">
      <c r="A16" s="18" t="inlineStr">
        <is>
          <t>Horlogerie</t>
        </is>
      </c>
      <c r="B16" s="18" t="inlineStr">
        <is>
          <t>QV5</t>
        </is>
      </c>
      <c r="C16" s="18" t="inlineStr">
        <is>
          <t>Impulsions publiques</t>
        </is>
      </c>
      <c r="D16" s="18" t="inlineStr">
        <is>
          <t>Quelles décisions publiques — droits de douane, accords commerciaux, réglementation Swiss made — modifient les conditions d'accès aux marchés ?</t>
        </is>
      </c>
      <c r="E16" s="18"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8" t="inlineStr">
        <is>
          <t>marginale</t>
        </is>
      </c>
      <c r="G16" s="18" t="n">
        <v>1</v>
      </c>
      <c r="H16" s="18" t="n">
        <v>0</v>
      </c>
    </row>
    <row r="17">
      <c r="A17" s="17" t="inlineStr">
        <is>
          <t>Médical</t>
        </is>
      </c>
      <c r="B17" s="17" t="inlineStr">
        <is>
          <t>QV1</t>
        </is>
      </c>
      <c r="C17" s="17" t="inlineStr">
        <is>
          <t>Santé structurelle</t>
        </is>
      </c>
      <c r="D17" s="17" t="inlineStr">
        <is>
          <t>La base productive medtech européenne et suisse croît-elle en volume et en emplois ?</t>
        </is>
      </c>
      <c r="E17" s="17" t="inlineStr">
        <is>
          <t>Secteur défensif, peu cyclique : la production suit la demande démographique. Tout décrochage est donc un signal structurel et non une fluctuation conjoncturelle.</t>
        </is>
      </c>
      <c r="F17" s="17" t="inlineStr">
        <is>
          <t>significative</t>
        </is>
      </c>
      <c r="G17" s="17" t="n">
        <v>3</v>
      </c>
      <c r="H17" s="17" t="n">
        <v>2</v>
      </c>
    </row>
    <row r="18">
      <c r="A18" s="16" t="inlineStr">
        <is>
          <t>Médical</t>
        </is>
      </c>
      <c r="B18" s="16" t="inlineStr">
        <is>
          <t>QV2</t>
        </is>
      </c>
      <c r="C18" s="16" t="inlineStr">
        <is>
          <t>Demande et débouchés</t>
        </is>
      </c>
      <c r="D18" s="16" t="inlineStr">
        <is>
          <t>Quels pays accroissent leurs importations d'instruments médicaux, et leurs dépenses de santé le confirment-elles ?</t>
        </is>
      </c>
      <c r="E18" s="16" t="inlineStr">
        <is>
          <t>Demande solvabilisée par les systèmes de santé : le budget public précède la commande hospitalière avec un décalage long. Le croisement des deux séries distingue la croissance financée de la croissance annoncée.</t>
        </is>
      </c>
      <c r="F18" s="16" t="inlineStr">
        <is>
          <t>dominante</t>
        </is>
      </c>
      <c r="G18" s="16" t="n">
        <v>4</v>
      </c>
      <c r="H18" s="16" t="n">
        <v>4</v>
      </c>
    </row>
    <row r="19">
      <c r="A19" s="17" t="inlineStr">
        <is>
          <t>Médical</t>
        </is>
      </c>
      <c r="B19" s="17" t="inlineStr">
        <is>
          <t>QV3</t>
        </is>
      </c>
      <c r="C19" s="17" t="inlineStr">
        <is>
          <t>Dynamique géographique</t>
        </is>
      </c>
      <c r="D19" s="17" t="inlineStr">
        <is>
          <t>Où se localise la production d'instruments médicaux, et la position suisse s'y érode-t-elle ?</t>
        </is>
      </c>
      <c r="E19" s="17" t="inlineStr">
        <is>
          <t>Les barrières réglementaires (MDR européen, homologation FDA) freinent les délocalisations : la géographie bouge lentement, ce qui rend tout mouvement observé significatif.</t>
        </is>
      </c>
      <c r="F19" s="17" t="inlineStr">
        <is>
          <t>significative</t>
        </is>
      </c>
      <c r="G19" s="17" t="n">
        <v>2</v>
      </c>
      <c r="H19" s="17" t="n">
        <v>1</v>
      </c>
    </row>
    <row r="20">
      <c r="A20" s="16" t="inlineStr">
        <is>
          <t>Médical</t>
        </is>
      </c>
      <c r="B20" s="16" t="inlineStr">
        <is>
          <t>QV4</t>
        </is>
      </c>
      <c r="C20" s="16" t="inlineStr">
        <is>
          <t>Dynamique technologique</t>
        </is>
      </c>
      <c r="D20" s="16" t="inlineStr">
        <is>
          <t>Quelles mutations techniques — chirurgie mini-invasive, robotique, implants personnalisés — recomposent la demande de pièces de précision ?</t>
        </is>
      </c>
      <c r="E20" s="16" t="inlineStr">
        <is>
          <t>Chaque génération d'instruments modifie les tolérances, les matériaux et les volumes demandés au sous-traitant. L'antériorité du signal se lit dans les dépôts de brevets, plusieurs années avant la commande.</t>
        </is>
      </c>
      <c r="F20" s="16" t="inlineStr">
        <is>
          <t>dominante</t>
        </is>
      </c>
      <c r="G20" s="16" t="n">
        <v>2</v>
      </c>
      <c r="H20" s="16" t="n">
        <v>2</v>
      </c>
    </row>
    <row r="21">
      <c r="A21" s="17" t="inlineStr">
        <is>
          <t>Médical</t>
        </is>
      </c>
      <c r="B21" s="17" t="inlineStr">
        <is>
          <t>QV5</t>
        </is>
      </c>
      <c r="C21" s="17" t="inlineStr">
        <is>
          <t>Impulsions publiques</t>
        </is>
      </c>
      <c r="D21" s="17" t="inlineStr">
        <is>
          <t>Comment évoluent les dépenses publiques de santé, et quels programmes d'équipement en découlent ?</t>
        </is>
      </c>
      <c r="E21" s="17" t="inlineStr">
        <is>
          <t>Déterminant médiatisé : la dépense publique solvabilise la demande hospitalière sans être elle-même la commande. Décalage de plusieurs années entre arbitrage budgétaire et appel d'offres.</t>
        </is>
      </c>
      <c r="F21" s="17" t="inlineStr">
        <is>
          <t>significative</t>
        </is>
      </c>
      <c r="G21" s="17" t="n">
        <v>2</v>
      </c>
      <c r="H21" s="17" t="n">
        <v>2</v>
      </c>
    </row>
    <row r="22">
      <c r="A22" s="16" t="inlineStr">
        <is>
          <t>Socle transversal</t>
        </is>
      </c>
      <c r="B22" s="16" t="inlineStr">
        <is>
          <t>QV0</t>
        </is>
      </c>
      <c r="C22" s="16" t="inlineStr">
        <is>
          <t>Attribution</t>
        </is>
      </c>
      <c r="D22" s="16" t="inlineStr">
        <is>
          <t>Le mouvement observé sur un secteur est-il propre à ce secteur, ou porté par la conjoncture générale ?</t>
        </is>
      </c>
      <c r="E22" s="16" t="inlineStr">
        <is>
          <t>Sans référentiel commun, un recul sectoriel est ininterprétable : une baisse des exportations ne se lit pas de la même manière selon que le commerce mondial recule ou progresse. Le socle transversal fournit le dénominateur de l'attribution.</t>
        </is>
      </c>
      <c r="F22" s="16" t="inlineStr">
        <is>
          <t>dominante</t>
        </is>
      </c>
      <c r="G22" s="16" t="n">
        <v>11</v>
      </c>
      <c r="H22" s="16" t="n">
        <v>11</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11</v>
      </c>
    </row>
    <row r="3">
      <c r="A3" s="6" t="inlineStr">
        <is>
          <t>QV1</t>
        </is>
      </c>
      <c r="B3" s="6" t="inlineStr">
        <is>
          <t>Santé structurelle</t>
        </is>
      </c>
      <c r="C3" s="6" t="inlineStr">
        <is>
          <t>Comment évolue la substance de la branche : production, emploi, tissu d'entreprises ?</t>
        </is>
      </c>
      <c r="D3" s="6" t="inlineStr">
        <is>
          <t>sectoriel</t>
        </is>
      </c>
      <c r="E3" s="6" t="n">
        <v>13</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16</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5</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6</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2</v>
      </c>
      <c r="D2" s="11" t="n">
        <v>2</v>
      </c>
      <c r="E2" s="11" t="inlineStr">
        <is>
          <t>couverte</t>
        </is>
      </c>
    </row>
    <row r="3">
      <c r="A3" s="11" t="inlineStr">
        <is>
          <t>aerospatial</t>
        </is>
      </c>
      <c r="B3" s="11" t="inlineStr">
        <is>
          <t>QV2</t>
        </is>
      </c>
      <c r="C3" s="11" t="n">
        <v>4</v>
      </c>
      <c r="D3" s="11" t="n">
        <v>3</v>
      </c>
      <c r="E3" s="11" t="inlineStr">
        <is>
          <t>couverte</t>
        </is>
      </c>
    </row>
    <row r="4">
      <c r="A4" s="11" t="inlineStr">
        <is>
          <t>aerospatial</t>
        </is>
      </c>
      <c r="B4" s="11" t="inlineStr">
        <is>
          <t>QV3</t>
        </is>
      </c>
      <c r="C4" s="11" t="n">
        <v>1</v>
      </c>
      <c r="D4" s="11" t="n">
        <v>1</v>
      </c>
      <c r="E4" s="11" t="inlineStr">
        <is>
          <t>couverte</t>
        </is>
      </c>
    </row>
    <row r="5">
      <c r="A5" s="15" t="inlineStr">
        <is>
          <t>aerospatial</t>
        </is>
      </c>
      <c r="B5" s="15" t="inlineStr">
        <is>
          <t>QV4</t>
        </is>
      </c>
      <c r="C5" s="15" t="n">
        <v>0</v>
      </c>
      <c r="D5" s="15" t="n">
        <v>0</v>
      </c>
      <c r="E5" s="15" t="inlineStr">
        <is>
          <t>non couverte</t>
        </is>
      </c>
    </row>
    <row r="6">
      <c r="A6" s="11" t="inlineStr">
        <is>
          <t>aerospatial</t>
        </is>
      </c>
      <c r="B6" s="11" t="inlineStr">
        <is>
          <t>QV5</t>
        </is>
      </c>
      <c r="C6" s="11" t="n">
        <v>3</v>
      </c>
      <c r="D6" s="11" t="n">
        <v>2</v>
      </c>
      <c r="E6" s="11" t="inlineStr">
        <is>
          <t>couverte</t>
        </is>
      </c>
    </row>
    <row r="7">
      <c r="A7" s="11" t="inlineStr">
        <is>
          <t>automobile</t>
        </is>
      </c>
      <c r="B7" s="11" t="inlineStr">
        <is>
          <t>QV1</t>
        </is>
      </c>
      <c r="C7" s="11" t="n">
        <v>3</v>
      </c>
      <c r="D7" s="11" t="n">
        <v>3</v>
      </c>
      <c r="E7" s="11" t="inlineStr">
        <is>
          <t>couverte</t>
        </is>
      </c>
    </row>
    <row r="8">
      <c r="A8" s="11" t="inlineStr">
        <is>
          <t>automobile</t>
        </is>
      </c>
      <c r="B8" s="11" t="inlineStr">
        <is>
          <t>QV2</t>
        </is>
      </c>
      <c r="C8" s="11" t="n">
        <v>4</v>
      </c>
      <c r="D8" s="11" t="n">
        <v>4</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2</v>
      </c>
      <c r="D10" s="11" t="n">
        <v>2</v>
      </c>
      <c r="E10" s="11" t="inlineStr">
        <is>
          <t>couverte</t>
        </is>
      </c>
    </row>
    <row r="11">
      <c r="A11" s="15" t="inlineStr">
        <is>
          <t>automobile</t>
        </is>
      </c>
      <c r="B11" s="15" t="inlineStr">
        <is>
          <t>QV5</t>
        </is>
      </c>
      <c r="C11" s="15" t="n">
        <v>0</v>
      </c>
      <c r="D11" s="15" t="n">
        <v>0</v>
      </c>
      <c r="E11" s="15" t="inlineStr">
        <is>
          <t>non couverte</t>
        </is>
      </c>
    </row>
    <row r="12">
      <c r="A12" s="11" t="inlineStr">
        <is>
          <t>horlogerie</t>
        </is>
      </c>
      <c r="B12" s="11" t="inlineStr">
        <is>
          <t>QV1</t>
        </is>
      </c>
      <c r="C12" s="11" t="n">
        <v>5</v>
      </c>
      <c r="D12" s="11" t="n">
        <v>4</v>
      </c>
      <c r="E12" s="11" t="inlineStr">
        <is>
          <t>couverte</t>
        </is>
      </c>
    </row>
    <row r="13">
      <c r="A13" s="11" t="inlineStr">
        <is>
          <t>horlogerie</t>
        </is>
      </c>
      <c r="B13" s="11" t="inlineStr">
        <is>
          <t>QV2</t>
        </is>
      </c>
      <c r="C13" s="11" t="n">
        <v>4</v>
      </c>
      <c r="D13" s="11" t="n">
        <v>4</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1</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4</v>
      </c>
      <c r="D18" s="11" t="n">
        <v>4</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2</v>
      </c>
      <c r="D20" s="11" t="n">
        <v>2</v>
      </c>
      <c r="E20" s="11" t="inlineStr">
        <is>
          <t>couverte</t>
        </is>
      </c>
    </row>
    <row r="21">
      <c r="A21" s="11" t="inlineStr">
        <is>
          <t>medical</t>
        </is>
      </c>
      <c r="B21" s="11" t="inlineStr">
        <is>
          <t>QV5</t>
        </is>
      </c>
      <c r="C21" s="11" t="n">
        <v>2</v>
      </c>
      <c r="D21" s="11" t="n">
        <v>2</v>
      </c>
      <c r="E21" s="11" t="inlineStr">
        <is>
          <t>couverte</t>
        </is>
      </c>
    </row>
    <row r="22">
      <c r="A22" s="11" t="inlineStr">
        <is>
          <t>transversal</t>
        </is>
      </c>
      <c r="B22" s="11" t="inlineStr">
        <is>
          <t>QV0</t>
        </is>
      </c>
      <c r="C22" s="11" t="n">
        <v>11</v>
      </c>
      <c r="D22" s="11" t="n">
        <v>11</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1"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5" t="inlineStr">
        <is>
          <t>Aérospatial</t>
        </is>
      </c>
      <c r="B2" s="15" t="inlineStr">
        <is>
          <t>QV4</t>
        </is>
      </c>
      <c r="C2" s="15" t="inlineStr">
        <is>
          <t>Dynamique technologique</t>
        </is>
      </c>
      <c r="D2" s="15" t="inlineStr">
        <is>
          <t>Quelles ruptures techniques — lanceurs réutilisables, constellations, propulsion alternative — modifient les volumes et les tolérances demandés ?</t>
        </is>
      </c>
      <c r="E2" s="15" t="inlineStr">
        <is>
          <t>dominante</t>
        </is>
      </c>
      <c r="F2" s="15" t="n">
        <v>0</v>
      </c>
      <c r="G2" s="15" t="n">
        <v>0</v>
      </c>
      <c r="H2" s="15" t="inlineStr">
        <is>
          <t>lacune — aucun indicateur</t>
        </is>
      </c>
    </row>
    <row r="3">
      <c r="A3" s="15" t="inlineStr">
        <is>
          <t>Automobile</t>
        </is>
      </c>
      <c r="B3" s="15" t="inlineStr">
        <is>
          <t>QV5</t>
        </is>
      </c>
      <c r="C3" s="15" t="inlineStr">
        <is>
          <t>Impulsions publiques</t>
        </is>
      </c>
      <c r="D3" s="15" t="inlineStr">
        <is>
          <t>Quelles décisions réglementaires — normes d'émission, calendrier d'interdiction du thermique, dispositifs d'incitation — modifient la composition de la demande ?</t>
        </is>
      </c>
      <c r="E3" s="15" t="inlineStr">
        <is>
          <t>dominante</t>
        </is>
      </c>
      <c r="F3" s="15" t="n">
        <v>0</v>
      </c>
      <c r="G3" s="15" t="n">
        <v>0</v>
      </c>
      <c r="H3" s="15" t="inlineStr">
        <is>
          <t>lacune — aucun indicateur</t>
        </is>
      </c>
    </row>
    <row r="4">
      <c r="A4" s="13" t="inlineStr">
        <is>
          <t>Horlogerie</t>
        </is>
      </c>
      <c r="B4" s="13" t="inlineStr">
        <is>
          <t>QV5</t>
        </is>
      </c>
      <c r="C4" s="13" t="inlineStr">
        <is>
          <t>Impulsions publiques</t>
        </is>
      </c>
      <c r="D4" s="13" t="inlineStr">
        <is>
          <t>Quelles décisions publiques — droits de douane, accords commerciaux, réglementation Swiss made — modifient les conditions d'accès aux marchés ?</t>
        </is>
      </c>
      <c r="E4" s="13" t="inlineStr">
        <is>
          <t>marginale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8"/>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19" customWidth="1" min="5" max="5"/>
    <col width="13" customWidth="1" min="6" max="6"/>
    <col width="25" customWidth="1" min="7" max="7"/>
    <col width="15" customWidth="1" min="8" max="8"/>
    <col width="12" customWidth="1" min="9" max="9"/>
    <col width="38"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cpb</t>
        </is>
      </c>
      <c r="B8" s="11" t="inlineStr">
        <is>
          <t>World Trade Monitor</t>
        </is>
      </c>
      <c r="C8" s="11" t="inlineStr">
        <is>
          <t>CPB Netherlands Bureau for Economic Policy Analysis</t>
        </is>
      </c>
      <c r="D8" s="11" t="inlineStr">
        <is>
          <t>mensuelle</t>
        </is>
      </c>
      <c r="E8" s="11" t="inlineStr">
        <is>
          <t>Excel</t>
        </is>
      </c>
      <c r="F8" s="11" t="inlineStr">
        <is>
          <t>libre</t>
        </is>
      </c>
      <c r="G8" s="11" t="inlineStr">
        <is>
          <t>certifiee</t>
        </is>
      </c>
      <c r="H8" s="11" t="inlineStr">
        <is>
          <t>N. Castillo</t>
        </is>
      </c>
      <c r="I8" s="11" t="inlineStr">
        <is>
          <t>07.08.2026</t>
        </is>
      </c>
      <c r="J8" s="11" t="inlineStr">
        <is>
          <t>T3</t>
        </is>
      </c>
      <c r="K8" s="11" t="inlineStr">
        <is>
          <t>https://www.cpb.nl/en/worldtrademonitor/latest</t>
        </is>
      </c>
      <c r="L8" s="11" t="inlineStr">
        <is>
          <t>URL corrigée le 24.08.2026 : l'ancienne (…/en/worldtrademonitor) renvoyait 404. La nouvelle redirige vers le millésime courant.</t>
        </is>
      </c>
    </row>
    <row r="9">
      <c r="A9" s="13" t="inlineStr">
        <is>
          <t>deloitte</t>
        </is>
      </c>
      <c r="B9" s="13" t="inlineStr">
        <is>
          <t>Swiss Watch Industry Study</t>
        </is>
      </c>
      <c r="C9" s="13" t="inlineStr">
        <is>
          <t>Deloitte</t>
        </is>
      </c>
      <c r="D9" s="13" t="inlineStr">
        <is>
          <t>annuelle</t>
        </is>
      </c>
      <c r="E9" s="13" t="inlineStr">
        <is>
          <t>PDF</t>
        </is>
      </c>
      <c r="F9" s="13" t="inlineStr">
        <is>
          <t>libre</t>
        </is>
      </c>
      <c r="G9" s="13" t="inlineStr">
        <is>
          <t>a_confirmer</t>
        </is>
      </c>
      <c r="H9" s="13" t="inlineStr">
        <is>
          <t>N. Castillo</t>
        </is>
      </c>
      <c r="I9" s="13" t="inlineStr">
        <is>
          <t>07.08.2026</t>
        </is>
      </c>
      <c r="J9" s="13" t="inlineStr">
        <is>
          <t>H5</t>
        </is>
      </c>
      <c r="K9" s="13" t="inlineStr">
        <is>
          <t>https://www.deloitte.com/ch</t>
        </is>
      </c>
      <c r="L9" s="13" t="inlineStr">
        <is>
          <t>Étude annuelle, méthodologie déclarative</t>
        </is>
      </c>
    </row>
    <row r="10">
      <c r="A10" s="13" t="inlineStr">
        <is>
          <t>esa</t>
        </is>
      </c>
      <c r="B10" s="13" t="inlineStr">
        <is>
          <t>Budgets spatiaux publics</t>
        </is>
      </c>
      <c r="C10" s="13" t="inlineStr">
        <is>
          <t>ESA et agences nationales</t>
        </is>
      </c>
      <c r="D10" s="13" t="inlineStr">
        <is>
          <t>annuelle</t>
        </is>
      </c>
      <c r="E10" s="13" t="inlineStr">
        <is>
          <t>PDF</t>
        </is>
      </c>
      <c r="F10" s="13" t="inlineStr">
        <is>
          <t>libre</t>
        </is>
      </c>
      <c r="G10" s="13" t="inlineStr">
        <is>
          <t>a_confirmer</t>
        </is>
      </c>
      <c r="H10" s="13" t="inlineStr">
        <is>
          <t>N. Castillo</t>
        </is>
      </c>
      <c r="I10" s="13" t="inlineStr">
        <is>
          <t>07.08.2026</t>
        </is>
      </c>
      <c r="J10" s="13" t="inlineStr">
        <is>
          <t>S5</t>
        </is>
      </c>
      <c r="K10" s="13" t="inlineStr">
        <is>
          <t>https://www.esa.int</t>
        </is>
      </c>
      <c r="L10" s="13" t="inlineStr">
        <is>
          <t>Formats hétérogènes selon les agences</t>
        </is>
      </c>
    </row>
    <row r="11">
      <c r="A11" s="11" t="inlineStr">
        <is>
          <t>eurostat</t>
        </is>
      </c>
      <c r="B11" s="11" t="inlineStr">
        <is>
          <t>Eurostat — statistiques conjoncturelles et structurelles</t>
        </is>
      </c>
      <c r="C11" s="11" t="inlineStr">
        <is>
          <t>Commission européenne</t>
        </is>
      </c>
      <c r="D11" s="11" t="inlineStr">
        <is>
          <t>mensuelle</t>
        </is>
      </c>
      <c r="E11" s="11" t="inlineStr">
        <is>
          <t>API + CSV</t>
        </is>
      </c>
      <c r="F11" s="11" t="inlineStr">
        <is>
          <t>libre</t>
        </is>
      </c>
      <c r="G11" s="11" t="inlineStr">
        <is>
          <t>certifiee</t>
        </is>
      </c>
      <c r="H11" s="11" t="inlineStr">
        <is>
          <t>N. Castillo</t>
        </is>
      </c>
      <c r="I11" s="11" t="inlineStr">
        <is>
          <t>07.08.2026</t>
        </is>
      </c>
      <c r="J11" s="11" t="inlineStr">
        <is>
          <t>A5, A6, H6, M2, S8, T10, T11, T5, T7, T8, T9</t>
        </is>
      </c>
      <c r="K11" s="11" t="inlineStr">
        <is>
          <t>https://ec.europa.eu/eurostat/data/database</t>
        </is>
      </c>
      <c r="L11" s="11" t="inlineStr">
        <is>
          <t>API de dissémination sans authentification</t>
        </is>
      </c>
    </row>
    <row r="12">
      <c r="A12" s="11" t="inlineStr">
        <is>
          <t>fh</t>
        </is>
      </c>
      <c r="B12" s="11" t="inlineStr">
        <is>
          <t>Statistiques d'exportation horlogère</t>
        </is>
      </c>
      <c r="C12" s="11" t="inlineStr">
        <is>
          <t>Fédération de l'industrie horlogère suisse</t>
        </is>
      </c>
      <c r="D12" s="11" t="inlineStr">
        <is>
          <t>mensuelle</t>
        </is>
      </c>
      <c r="E12" s="11" t="inlineStr">
        <is>
          <t>PDF / communiqués</t>
        </is>
      </c>
      <c r="F12" s="11" t="inlineStr">
        <is>
          <t>libre</t>
        </is>
      </c>
      <c r="G12" s="11" t="inlineStr">
        <is>
          <t>certifiee</t>
        </is>
      </c>
      <c r="H12" s="11" t="inlineStr">
        <is>
          <t>N. Castillo</t>
        </is>
      </c>
      <c r="I12" s="11" t="inlineStr">
        <is>
          <t>09.08.2026</t>
        </is>
      </c>
      <c r="J12" s="11" t="inlineStr">
        <is>
          <t>H7, H8, H9</t>
        </is>
      </c>
      <c r="K12" s="11" t="inlineStr">
        <is>
          <t>https://www.fhs.swiss</t>
        </is>
      </c>
      <c r="L12" s="11" t="inlineStr">
        <is>
          <t>Détail par marché de destination</t>
        </is>
      </c>
    </row>
    <row r="13">
      <c r="A13" s="11" t="inlineStr">
        <is>
          <t>fmi</t>
        </is>
      </c>
      <c r="B13" s="11" t="inlineStr">
        <is>
          <t>World Economic Outlook</t>
        </is>
      </c>
      <c r="C13" s="11" t="inlineStr">
        <is>
          <t>Fonds monétaire international</t>
        </is>
      </c>
      <c r="D13" s="11" t="inlineStr">
        <is>
          <t>semestrielle</t>
        </is>
      </c>
      <c r="E13" s="11" t="inlineStr">
        <is>
          <t>CSV</t>
        </is>
      </c>
      <c r="F13" s="11" t="inlineStr">
        <is>
          <t>libre</t>
        </is>
      </c>
      <c r="G13" s="11" t="inlineStr">
        <is>
          <t>certifiee</t>
        </is>
      </c>
      <c r="H13" s="11" t="inlineStr">
        <is>
          <t>N. Castillo</t>
        </is>
      </c>
      <c r="I13" s="11" t="inlineStr">
        <is>
          <t>07.08.2026</t>
        </is>
      </c>
      <c r="J13" s="11" t="inlineStr">
        <is>
          <t>T4</t>
        </is>
      </c>
      <c r="K13" s="11" t="inlineStr">
        <is>
          <t>https://www.imf.org/en/Publications/WEO</t>
        </is>
      </c>
      <c r="L13" s="11" t="n"/>
    </row>
    <row r="14">
      <c r="A14" s="13" t="inlineStr">
        <is>
          <t>iata</t>
        </is>
      </c>
      <c r="B14" s="13" t="inlineStr">
        <is>
          <t>Air Passenger Market Analysis</t>
        </is>
      </c>
      <c r="C14" s="13" t="inlineStr">
        <is>
          <t>IATA</t>
        </is>
      </c>
      <c r="D14" s="13" t="inlineStr">
        <is>
          <t>mensuelle</t>
        </is>
      </c>
      <c r="E14" s="13" t="inlineStr">
        <is>
          <t>PDF</t>
        </is>
      </c>
      <c r="F14" s="13" t="inlineStr">
        <is>
          <t>libre</t>
        </is>
      </c>
      <c r="G14" s="13" t="inlineStr">
        <is>
          <t>a_confirmer</t>
        </is>
      </c>
      <c r="H14" s="13" t="inlineStr">
        <is>
          <t>N. Castillo</t>
        </is>
      </c>
      <c r="I14" s="13" t="inlineStr">
        <is>
          <t>07.08.2026</t>
        </is>
      </c>
      <c r="J14" s="13" t="inlineStr">
        <is>
          <t>S2</t>
        </is>
      </c>
      <c r="K14" s="13" t="inlineStr">
        <is>
          <t>https://www.iata.org</t>
        </is>
      </c>
      <c r="L14" s="13" t="inlineStr">
        <is>
          <t>Séries détaillées réservées aux membres</t>
        </is>
      </c>
    </row>
    <row r="15">
      <c r="A15" s="11" t="inlineStr">
        <is>
          <t>kof</t>
        </is>
      </c>
      <c r="B15" s="11" t="inlineStr">
        <is>
          <t>Baromètre conjoncturel KOF</t>
        </is>
      </c>
      <c r="C15" s="11" t="inlineStr">
        <is>
          <t>KOF ETH Zurich</t>
        </is>
      </c>
      <c r="D15" s="11" t="inlineStr">
        <is>
          <t>mensuelle</t>
        </is>
      </c>
      <c r="E15" s="11" t="inlineStr">
        <is>
          <t>API / CSV</t>
        </is>
      </c>
      <c r="F15" s="11" t="inlineStr">
        <is>
          <t>libre</t>
        </is>
      </c>
      <c r="G15" s="11" t="inlineStr">
        <is>
          <t>certifiee</t>
        </is>
      </c>
      <c r="H15" s="11" t="inlineStr">
        <is>
          <t>N. Castillo</t>
        </is>
      </c>
      <c r="I15" s="11" t="inlineStr">
        <is>
          <t>17.08.2026</t>
        </is>
      </c>
      <c r="J15" s="11" t="inlineStr">
        <is>
          <t>T6</t>
        </is>
      </c>
      <c r="K15" s="11" t="inlineStr">
        <is>
          <t>https://data.kof.ethz.ch</t>
        </is>
      </c>
      <c r="L15" s="11" t="inlineStr">
        <is>
          <t>API v2 publique sans clé (access_type=public), CSV date/valeur, mensuel depuis 1991. Vérifiée en réponse réelle le 17.08.2026. Ancienne API v1 hors service — motif du re-sourçage documenté.</t>
        </is>
      </c>
    </row>
    <row r="16">
      <c r="A16" s="11" t="inlineStr">
        <is>
          <t>ocde</t>
        </is>
      </c>
      <c r="B16" s="11" t="inlineStr">
        <is>
          <t>Principaux indicateurs économiques et CLI</t>
        </is>
      </c>
      <c r="C16" s="11" t="inlineStr">
        <is>
          <t>OCDE</t>
        </is>
      </c>
      <c r="D16" s="11" t="inlineStr">
        <is>
          <t>mensuelle</t>
        </is>
      </c>
      <c r="E16" s="11" t="inlineStr">
        <is>
          <t>API + CSV</t>
        </is>
      </c>
      <c r="F16" s="11" t="inlineStr">
        <is>
          <t>libre</t>
        </is>
      </c>
      <c r="G16" s="11" t="inlineStr">
        <is>
          <t>certifiee</t>
        </is>
      </c>
      <c r="H16" s="11" t="inlineStr">
        <is>
          <t>N. Castillo</t>
        </is>
      </c>
      <c r="I16" s="11" t="inlineStr">
        <is>
          <t>07.08.2026</t>
        </is>
      </c>
      <c r="J16" s="11" t="inlineStr">
        <is>
          <t>T1</t>
        </is>
      </c>
      <c r="K16" s="11" t="inlineStr">
        <is>
          <t>https://data-explorer.oecd.org</t>
        </is>
      </c>
      <c r="L16"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7">
      <c r="A17" s="11" t="inlineStr">
        <is>
          <t>ocde_brevets</t>
        </is>
      </c>
      <c r="B17" s="11" t="inlineStr">
        <is>
          <t>Brevets par domaine technologique</t>
        </is>
      </c>
      <c r="C17" s="11" t="inlineStr">
        <is>
          <t>OCDE</t>
        </is>
      </c>
      <c r="D17" s="11" t="inlineStr">
        <is>
          <t>annuelle</t>
        </is>
      </c>
      <c r="E17" s="11" t="inlineStr">
        <is>
          <t>API SDMX</t>
        </is>
      </c>
      <c r="F17" s="11" t="inlineStr">
        <is>
          <t>libre</t>
        </is>
      </c>
      <c r="G17" s="11" t="inlineStr">
        <is>
          <t>certifiee</t>
        </is>
      </c>
      <c r="H17" s="11" t="inlineStr">
        <is>
          <t>N. Castillo</t>
        </is>
      </c>
      <c r="I17" s="11" t="inlineStr">
        <is>
          <t>25.08.2026</t>
        </is>
      </c>
      <c r="J17" s="11" t="inlineStr">
        <is>
          <t>A7, M6</t>
        </is>
      </c>
      <c r="K17" s="11" t="inlineStr">
        <is>
          <t>https://data-explorer.oecd.org/vis?df[ag]=OECD.STI.PIE&amp;df[id]=DSD_PATENTS@DF_PATENTS_OECDSPECIFIC</t>
        </is>
      </c>
      <c r="L17" s="11" t="inlineStr">
        <is>
          <t>Jeu DF_PATENTS_OECDSPECIFIC. Dix-huit domaines technologiques, dont MEDICAL et TRA (technologies de transport bas carbone). Sans clé. Vérifié en réponse réelle le 25.08.2026 : 13 points annuels 2010-2022, 106 zones disponibles.</t>
        </is>
      </c>
    </row>
    <row r="18">
      <c r="A18" s="11" t="inlineStr">
        <is>
          <t>ofs</t>
        </is>
      </c>
      <c r="B18" s="11" t="inlineStr">
        <is>
          <t>STATENT et statistiques conjoncturelles</t>
        </is>
      </c>
      <c r="C18" s="11" t="inlineStr">
        <is>
          <t>Office fédéral de la statistique</t>
        </is>
      </c>
      <c r="D18" s="11" t="inlineStr">
        <is>
          <t>annuelle</t>
        </is>
      </c>
      <c r="E18" s="11" t="inlineStr">
        <is>
          <t>CSV / Excel</t>
        </is>
      </c>
      <c r="F18" s="11" t="inlineStr">
        <is>
          <t>libre</t>
        </is>
      </c>
      <c r="G18" s="11" t="inlineStr">
        <is>
          <t>certifiee</t>
        </is>
      </c>
      <c r="H18" s="11" t="inlineStr">
        <is>
          <t>N. Castillo</t>
        </is>
      </c>
      <c r="I18" s="11" t="inlineStr">
        <is>
          <t>07.08.2026</t>
        </is>
      </c>
      <c r="J18" s="11" t="inlineStr">
        <is>
          <t>H2, M4</t>
        </is>
      </c>
      <c r="K18" s="11" t="inlineStr">
        <is>
          <t>https://www.bfs.admin.ch</t>
        </is>
      </c>
      <c r="L18" s="11" t="inlineStr">
        <is>
          <t>Nomenclature NOGA</t>
        </is>
      </c>
    </row>
    <row r="19">
      <c r="A19" s="11" t="inlineStr">
        <is>
          <t>oica</t>
        </is>
      </c>
      <c r="B19" s="11" t="inlineStr">
        <is>
          <t>Statistiques de production automobile</t>
        </is>
      </c>
      <c r="C19" s="11" t="inlineStr">
        <is>
          <t>OICA</t>
        </is>
      </c>
      <c r="D19" s="11" t="inlineStr">
        <is>
          <t>annuelle</t>
        </is>
      </c>
      <c r="E19" s="11" t="inlineStr">
        <is>
          <t>Tableaux web</t>
        </is>
      </c>
      <c r="F19" s="11" t="inlineStr">
        <is>
          <t>libre</t>
        </is>
      </c>
      <c r="G19" s="11" t="inlineStr">
        <is>
          <t>certifiee</t>
        </is>
      </c>
      <c r="H19" s="11" t="inlineStr">
        <is>
          <t>N. Castillo</t>
        </is>
      </c>
      <c r="I19" s="11" t="inlineStr">
        <is>
          <t>07.08.2026</t>
        </is>
      </c>
      <c r="J19" s="11" t="inlineStr">
        <is>
          <t>A1</t>
        </is>
      </c>
      <c r="K19" s="11" t="inlineStr">
        <is>
          <t>https://www.oica.net/production-statistics</t>
        </is>
      </c>
      <c r="L19" s="11" t="n"/>
    </row>
    <row r="20">
      <c r="A20" s="11" t="inlineStr">
        <is>
          <t>ompi</t>
        </is>
      </c>
      <c r="B20" s="11" t="inlineStr">
        <is>
          <t>Statistiques de propriété intellectuelle</t>
        </is>
      </c>
      <c r="C20" s="11" t="inlineStr">
        <is>
          <t>OMPI</t>
        </is>
      </c>
      <c r="D20" s="11" t="inlineStr">
        <is>
          <t>annuelle</t>
        </is>
      </c>
      <c r="E20" s="11" t="inlineStr">
        <is>
          <t>CSV</t>
        </is>
      </c>
      <c r="F20" s="11" t="inlineStr">
        <is>
          <t>libre</t>
        </is>
      </c>
      <c r="G20" s="11" t="inlineStr">
        <is>
          <t>certifiee</t>
        </is>
      </c>
      <c r="H20" s="11" t="inlineStr">
        <is>
          <t>N. Castillo</t>
        </is>
      </c>
      <c r="I20" s="11" t="inlineStr">
        <is>
          <t>07.08.2026</t>
        </is>
      </c>
      <c r="J20" s="11" t="inlineStr">
        <is>
          <t>H4</t>
        </is>
      </c>
      <c r="K20" s="11" t="inlineStr">
        <is>
          <t>https://www.wipo.int/ipstats</t>
        </is>
      </c>
      <c r="L20" s="11" t="inlineStr">
        <is>
          <t>Classification CIB</t>
        </is>
      </c>
    </row>
    <row r="21">
      <c r="A21" s="11" t="inlineStr">
        <is>
          <t>ompi_tech</t>
        </is>
      </c>
      <c r="B21" s="11" t="inlineStr">
        <is>
          <t>Indicateurs de brevets par domaine technologique</t>
        </is>
      </c>
      <c r="C21" s="11" t="inlineStr">
        <is>
          <t>OMPI</t>
        </is>
      </c>
      <c r="D21" s="11" t="inlineStr">
        <is>
          <t>annuelle</t>
        </is>
      </c>
      <c r="E21" s="11" t="inlineStr">
        <is>
          <t>ZIP / CSV</t>
        </is>
      </c>
      <c r="F21" s="11" t="inlineStr">
        <is>
          <t>libre</t>
        </is>
      </c>
      <c r="G21" s="11" t="inlineStr">
        <is>
          <t>certifiee</t>
        </is>
      </c>
      <c r="H21" s="11" t="inlineStr">
        <is>
          <t>N. Castillo</t>
        </is>
      </c>
      <c r="I21" s="11" t="inlineStr">
        <is>
          <t>25.08.2026</t>
        </is>
      </c>
      <c r="J21" s="11" t="inlineStr">
        <is>
          <t>T12, T13</t>
        </is>
      </c>
      <c r="K21" s="11" t="inlineStr">
        <is>
          <t>https://www.wipo.int/en/web/ip-statistics</t>
        </is>
      </c>
      <c r="L21" s="11" t="inlineStr">
        <is>
          <t>Archive wipo-data-patent-indicators.zip, téléchargement direct sans inscription. Comptages par année, office, pays d'origine et domaine technologique (35 domaines). Vérifié en réponse réelle le 25.08.2026 : 663 584 lignes, 2000-2022. Table de concordance CIB/domaine publiée séparément et consultée pour établir les limites de granularité — G04 tombe dans « Techniques de mesure », B64 dans « Transport ».</t>
        </is>
      </c>
    </row>
    <row r="22">
      <c r="A22" s="11" t="inlineStr">
        <is>
          <t>oms_ghed</t>
        </is>
      </c>
      <c r="B22" s="11" t="inlineStr">
        <is>
          <t>Global Health Expenditure Database</t>
        </is>
      </c>
      <c r="C22" s="11" t="inlineStr">
        <is>
          <t>OMS</t>
        </is>
      </c>
      <c r="D22" s="11" t="inlineStr">
        <is>
          <t>annuelle</t>
        </is>
      </c>
      <c r="E22" s="11" t="inlineStr">
        <is>
          <t>API / CSV</t>
        </is>
      </c>
      <c r="F22" s="11" t="inlineStr">
        <is>
          <t>libre</t>
        </is>
      </c>
      <c r="G22" s="11" t="inlineStr">
        <is>
          <t>certifiee</t>
        </is>
      </c>
      <c r="H22" s="11" t="inlineStr">
        <is>
          <t>N. Castillo</t>
        </is>
      </c>
      <c r="I22" s="11" t="inlineStr">
        <is>
          <t>07.08.2026</t>
        </is>
      </c>
      <c r="J22" s="11" t="inlineStr">
        <is>
          <t>M3</t>
        </is>
      </c>
      <c r="K22" s="11" t="inlineStr">
        <is>
          <t>https://apps.who.int/nha/database</t>
        </is>
      </c>
      <c r="L22" s="11" t="n"/>
    </row>
    <row r="23">
      <c r="A23" s="11" t="inlineStr">
        <is>
          <t>openfda</t>
        </is>
      </c>
      <c r="B23" s="11" t="inlineStr">
        <is>
          <t>openFDA — bases publiques de la Food and Drug Administration</t>
        </is>
      </c>
      <c r="C23" s="11" t="inlineStr">
        <is>
          <t>U.S. Food and Drug Administration</t>
        </is>
      </c>
      <c r="D23" s="11" t="inlineStr">
        <is>
          <t>quotidienne</t>
        </is>
      </c>
      <c r="E23" s="11" t="inlineStr">
        <is>
          <t>API</t>
        </is>
      </c>
      <c r="F23" s="11" t="inlineStr">
        <is>
          <t>libre</t>
        </is>
      </c>
      <c r="G23" s="11" t="inlineStr">
        <is>
          <t>certifiee</t>
        </is>
      </c>
      <c r="H23" s="11" t="inlineStr">
        <is>
          <t>N. Castillo</t>
        </is>
      </c>
      <c r="I23" s="11" t="inlineStr">
        <is>
          <t>23.08.2026</t>
        </is>
      </c>
      <c r="J23" s="11" t="inlineStr">
        <is>
          <t>M8</t>
        </is>
      </c>
      <c r="K23" s="11" t="inlineStr">
        <is>
          <t>https://open.fda.gov</t>
        </is>
      </c>
      <c r="L23" s="11" t="inlineStr">
        <is>
          <t>API libre et sans clé (quota anonyme). Vérifiée en réponse réelle le 23.08.2026 : onze mois consécutifs de décomptes 510(k). Deux pièges d'appel consignés — la syntaxe d'intervalle « champ:[debut+TO+fin] » ne doit pas voir son « + » encodé (sinon 500), et une recherche sans résultat répond 404 et non 200 avec liste vide.</t>
        </is>
      </c>
    </row>
    <row r="24">
      <c r="A24" s="11" t="inlineStr">
        <is>
          <t>sipri</t>
        </is>
      </c>
      <c r="B24" s="11" t="inlineStr">
        <is>
          <t>Military Expenditure Database</t>
        </is>
      </c>
      <c r="C24" s="11" t="inlineStr">
        <is>
          <t>SIPRI</t>
        </is>
      </c>
      <c r="D24" s="11" t="inlineStr">
        <is>
          <t>annuelle</t>
        </is>
      </c>
      <c r="E24" s="11" t="inlineStr">
        <is>
          <t>CSV</t>
        </is>
      </c>
      <c r="F24" s="11" t="inlineStr">
        <is>
          <t>libre</t>
        </is>
      </c>
      <c r="G24" s="11" t="inlineStr">
        <is>
          <t>certifiee</t>
        </is>
      </c>
      <c r="H24" s="11" t="inlineStr">
        <is>
          <t>N. Castillo</t>
        </is>
      </c>
      <c r="I24" s="11" t="inlineStr">
        <is>
          <t>07.08.2026</t>
        </is>
      </c>
      <c r="J24" s="11" t="inlineStr">
        <is>
          <t>S4</t>
        </is>
      </c>
      <c r="K24" s="11" t="inlineStr">
        <is>
          <t>https://www.sipri.org/databases/milex</t>
        </is>
      </c>
      <c r="L24" s="11" t="inlineStr">
        <is>
          <t>URL corrigée le 24.08.2026 : l'ancienne (milex.sipri.org) échouait à la négociation TLS. Adresse alignée sur celle de la liaison S4.</t>
        </is>
      </c>
    </row>
    <row r="25">
      <c r="A25" s="13" t="inlineStr">
        <is>
          <t>sp_global_pmi</t>
        </is>
      </c>
      <c r="B25" s="13" t="inlineStr">
        <is>
          <t>Indices PMI manufacturiers</t>
        </is>
      </c>
      <c r="C25" s="13" t="inlineStr">
        <is>
          <t>S&amp;P Global</t>
        </is>
      </c>
      <c r="D25" s="13" t="inlineStr">
        <is>
          <t>mensuelle</t>
        </is>
      </c>
      <c r="E25" s="13" t="inlineStr">
        <is>
          <t>Communiqués</t>
        </is>
      </c>
      <c r="F25" s="13" t="inlineStr">
        <is>
          <t>payant</t>
        </is>
      </c>
      <c r="G25" s="13" t="inlineStr">
        <is>
          <t>a_confirmer</t>
        </is>
      </c>
      <c r="H25" s="13" t="inlineStr">
        <is>
          <t>N. Castillo</t>
        </is>
      </c>
      <c r="I25" s="13" t="inlineStr">
        <is>
          <t>07.08.2026</t>
        </is>
      </c>
      <c r="J25" s="13" t="n"/>
      <c r="K25" s="13" t="inlineStr">
        <is>
          <t>https://www.pmi.spglobal.com</t>
        </is>
      </c>
      <c r="L25" s="13" t="inlineStr">
        <is>
          <t>Indices détaillés payants ; valeurs de synthèse dans les communiqués</t>
        </is>
      </c>
    </row>
    <row r="26">
      <c r="A26" s="13" t="inlineStr">
        <is>
          <t>swiss_medtech</t>
        </is>
      </c>
      <c r="B26" s="13" t="inlineStr">
        <is>
          <t>Swiss Medical Technology Industry report</t>
        </is>
      </c>
      <c r="C26" s="13" t="inlineStr">
        <is>
          <t>Swiss Medtech</t>
        </is>
      </c>
      <c r="D26" s="13" t="inlineStr">
        <is>
          <t>bisannuelle</t>
        </is>
      </c>
      <c r="E26" s="13" t="inlineStr">
        <is>
          <t>PDF</t>
        </is>
      </c>
      <c r="F26" s="13" t="inlineStr">
        <is>
          <t>libre</t>
        </is>
      </c>
      <c r="G26" s="13" t="inlineStr">
        <is>
          <t>a_confirmer</t>
        </is>
      </c>
      <c r="H26" s="13" t="inlineStr">
        <is>
          <t>N. Castillo</t>
        </is>
      </c>
      <c r="I26" s="13" t="inlineStr">
        <is>
          <t>07.08.2026</t>
        </is>
      </c>
      <c r="J26" s="13" t="inlineStr">
        <is>
          <t>M5</t>
        </is>
      </c>
      <c r="K26" s="13" t="inlineStr">
        <is>
          <t>https://www.swiss-medtech.ch</t>
        </is>
      </c>
      <c r="L26" s="13" t="inlineStr">
        <is>
          <t>Publication bisannuelle, périodes non alignées sur la fenêtre 2023-2025</t>
        </is>
      </c>
    </row>
    <row r="27">
      <c r="A27" s="11" t="inlineStr">
        <is>
          <t>ted</t>
        </is>
      </c>
      <c r="B27" s="11" t="inlineStr">
        <is>
          <t>Tenders Electronic Daily — marchés publics UE</t>
        </is>
      </c>
      <c r="C27" s="11" t="inlineStr">
        <is>
          <t>Office des publications de l'UE</t>
        </is>
      </c>
      <c r="D27" s="11" t="inlineStr">
        <is>
          <t>quotidienne</t>
        </is>
      </c>
      <c r="E27" s="11" t="inlineStr">
        <is>
          <t>API</t>
        </is>
      </c>
      <c r="F27" s="11" t="inlineStr">
        <is>
          <t>libre</t>
        </is>
      </c>
      <c r="G27" s="11" t="inlineStr">
        <is>
          <t>certifiee</t>
        </is>
      </c>
      <c r="H27" s="11" t="inlineStr">
        <is>
          <t>N. Castillo</t>
        </is>
      </c>
      <c r="I27" s="11" t="inlineStr">
        <is>
          <t>20.08.2026</t>
        </is>
      </c>
      <c r="J27" s="11" t="inlineStr">
        <is>
          <t>M7, S7</t>
        </is>
      </c>
      <c r="K27" s="11" t="inlineStr">
        <is>
          <t>https://ted.europa.eu</t>
        </is>
      </c>
      <c r="L27" s="11" t="inlineStr">
        <is>
          <t>API de recherche v3, POST JSON, sans clé pour la recherche. Vérifiée en réponse réelle le 20.08.2026 (totalNoticeCount par requête CPV + bornes de dates). Source de la famille OSINT F3 (marchés publics) de la demande de ratification.</t>
        </is>
      </c>
    </row>
    <row r="28">
      <c r="A28" s="11" t="inlineStr">
        <is>
          <t>unoosa</t>
        </is>
      </c>
      <c r="B28" s="11" t="inlineStr">
        <is>
          <t>Objets lancés dans l'espace</t>
        </is>
      </c>
      <c r="C28" s="11" t="inlineStr">
        <is>
          <t>UNOOSA / Our World in Data</t>
        </is>
      </c>
      <c r="D28" s="11" t="inlineStr">
        <is>
          <t>annuelle</t>
        </is>
      </c>
      <c r="E28" s="11" t="inlineStr">
        <is>
          <t>CSV</t>
        </is>
      </c>
      <c r="F28" s="11" t="inlineStr">
        <is>
          <t>libre</t>
        </is>
      </c>
      <c r="G28" s="11" t="inlineStr">
        <is>
          <t>certifiee</t>
        </is>
      </c>
      <c r="H28" s="11" t="inlineStr">
        <is>
          <t>N. Castillo</t>
        </is>
      </c>
      <c r="I28" s="11" t="inlineStr">
        <is>
          <t>07.08.2026</t>
        </is>
      </c>
      <c r="J28" s="11" t="inlineStr">
        <is>
          <t>S3</t>
        </is>
      </c>
      <c r="K28" s="11" t="inlineStr">
        <is>
          <t>https://ourworldindata.org/space-exploration-satellites</t>
        </is>
      </c>
      <c r="L28" s="11" t="n"/>
    </row>
  </sheetData>
  <autoFilter ref="A1:L28"/>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2026-08-24T19:49:36Z</dcterms:created>
  <dcterms:modified xsi:type="dcterms:W3CDTF">2026-08-24T19:49:36Z</dcterms:modified>
</cp:coreProperties>
</file>